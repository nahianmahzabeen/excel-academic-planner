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za\Documents\"/>
    </mc:Choice>
  </mc:AlternateContent>
  <xr:revisionPtr revIDLastSave="0" documentId="8_{9EEEDEC6-A28B-4E0D-8E50-6C952F4963BD}" xr6:coauthVersionLast="47" xr6:coauthVersionMax="47" xr10:uidLastSave="{00000000-0000-0000-0000-000000000000}"/>
  <bookViews>
    <workbookView xWindow="-108" yWindow="-108" windowWidth="23256" windowHeight="12456" xr2:uid="{CF8B3A2E-281B-B943-86FA-2BBEBA641466}"/>
  </bookViews>
  <sheets>
    <sheet name="Personalized Academic Calendar" sheetId="3" r:id="rId1"/>
    <sheet name="Elective Lists" sheetId="4" r:id="rId2"/>
    <sheet name="Study Work Sequence Chart 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" i="3" l="1"/>
  <c r="B47" i="3"/>
  <c r="B41" i="3"/>
  <c r="B35" i="3"/>
  <c r="B29" i="3"/>
  <c r="B23" i="3"/>
  <c r="B16" i="3"/>
  <c r="B3" i="3"/>
  <c r="F51" i="3"/>
  <c r="F50" i="3"/>
  <c r="F49" i="3"/>
  <c r="F45" i="3"/>
  <c r="F46" i="3"/>
  <c r="F40" i="3"/>
  <c r="F28" i="3"/>
  <c r="E51" i="3"/>
  <c r="E50" i="3"/>
  <c r="E49" i="3"/>
  <c r="E48" i="3"/>
  <c r="E46" i="3"/>
  <c r="E45" i="3"/>
  <c r="E40" i="3"/>
  <c r="E44" i="3"/>
  <c r="E28" i="3"/>
  <c r="E15" i="3"/>
  <c r="D51" i="3"/>
  <c r="D50" i="3"/>
  <c r="D49" i="3"/>
  <c r="D48" i="3"/>
  <c r="D46" i="3"/>
  <c r="D45" i="3"/>
  <c r="D44" i="3"/>
  <c r="D40" i="3"/>
  <c r="D28" i="3"/>
  <c r="D15" i="3"/>
  <c r="K7" i="3"/>
  <c r="J3" i="3" l="1"/>
  <c r="J2" i="3"/>
  <c r="J4" i="3"/>
  <c r="J5" i="3"/>
  <c r="K5" i="3" s="1"/>
  <c r="J6" i="3"/>
  <c r="J7" i="3"/>
  <c r="K6" i="3" s="1"/>
  <c r="K4" i="3" l="1"/>
  <c r="K2" i="3"/>
</calcChain>
</file>

<file path=xl/sharedStrings.xml><?xml version="1.0" encoding="utf-8"?>
<sst xmlns="http://schemas.openxmlformats.org/spreadsheetml/2006/main" count="1219" uniqueCount="774">
  <si>
    <t>Fall 26</t>
  </si>
  <si>
    <t>Winter 27</t>
  </si>
  <si>
    <t>Summer 27</t>
  </si>
  <si>
    <t>Fall 27</t>
  </si>
  <si>
    <t>Winter 28</t>
  </si>
  <si>
    <t>Summer 28</t>
  </si>
  <si>
    <t>Fall 28</t>
  </si>
  <si>
    <t>Winter 29</t>
  </si>
  <si>
    <t>Summer 29</t>
  </si>
  <si>
    <t>Fall 29</t>
  </si>
  <si>
    <t>Winter 30</t>
  </si>
  <si>
    <t>Summer 30</t>
  </si>
  <si>
    <t>Fall 30</t>
  </si>
  <si>
    <t>Winter 31</t>
  </si>
  <si>
    <t>1A</t>
  </si>
  <si>
    <t>1B</t>
  </si>
  <si>
    <t>2A</t>
  </si>
  <si>
    <t>2B</t>
  </si>
  <si>
    <t>3A</t>
  </si>
  <si>
    <t>3B</t>
  </si>
  <si>
    <t>4A</t>
  </si>
  <si>
    <t>4B</t>
  </si>
  <si>
    <t>List A</t>
  </si>
  <si>
    <t xml:space="preserve">ANTH106 </t>
  </si>
  <si>
    <t xml:space="preserve">BET360 </t>
  </si>
  <si>
    <t xml:space="preserve">BET420 </t>
  </si>
  <si>
    <t xml:space="preserve">BME381 </t>
  </si>
  <si>
    <t xml:space="preserve">CS492 </t>
  </si>
  <si>
    <t xml:space="preserve">ENVS105 </t>
  </si>
  <si>
    <t xml:space="preserve">ENVS205 </t>
  </si>
  <si>
    <t xml:space="preserve">ERS215 </t>
  </si>
  <si>
    <t xml:space="preserve">ERS315 </t>
  </si>
  <si>
    <t xml:space="preserve">GENE311A </t>
  </si>
  <si>
    <t xml:space="preserve">GEOG207 </t>
  </si>
  <si>
    <t xml:space="preserve">GEOG306 </t>
  </si>
  <si>
    <t xml:space="preserve">GEOG326 </t>
  </si>
  <si>
    <t xml:space="preserve">GEOG368 </t>
  </si>
  <si>
    <t xml:space="preserve">GSJ205 </t>
  </si>
  <si>
    <t xml:space="preserve">HIST212 </t>
  </si>
  <si>
    <t xml:space="preserve">MSE422 </t>
  </si>
  <si>
    <t xml:space="preserve">MSE442 </t>
  </si>
  <si>
    <t xml:space="preserve">NE109 </t>
  </si>
  <si>
    <t xml:space="preserve">PACS315 </t>
  </si>
  <si>
    <t xml:space="preserve">PHIL226 </t>
  </si>
  <si>
    <t xml:space="preserve">PHIL228 </t>
  </si>
  <si>
    <t xml:space="preserve">PLAN341 </t>
  </si>
  <si>
    <t xml:space="preserve">SCI205 </t>
  </si>
  <si>
    <t xml:space="preserve">SOC232 </t>
  </si>
  <si>
    <t xml:space="preserve">SOC324 </t>
  </si>
  <si>
    <t xml:space="preserve">STV100 </t>
  </si>
  <si>
    <t xml:space="preserve">STV202 </t>
  </si>
  <si>
    <t xml:space="preserve">STV205 </t>
  </si>
  <si>
    <t xml:space="preserve">STV208 </t>
  </si>
  <si>
    <t xml:space="preserve">STV210 </t>
  </si>
  <si>
    <t xml:space="preserve">STV212 </t>
  </si>
  <si>
    <t xml:space="preserve">STV302 </t>
  </si>
  <si>
    <t xml:space="preserve">STV304 </t>
  </si>
  <si>
    <t xml:space="preserve">STV305 </t>
  </si>
  <si>
    <t xml:space="preserve">STV306 </t>
  </si>
  <si>
    <t xml:space="preserve">SYDE261 </t>
  </si>
  <si>
    <t xml:space="preserve"> Technologies of Being Human </t>
  </si>
  <si>
    <t xml:space="preserve"> Design Frameworks for Social Ventures </t>
  </si>
  <si>
    <t xml:space="preserve"> Entrepreneurship for Social Impact </t>
  </si>
  <si>
    <t xml:space="preserve"> Biomedical Engineering Ethics </t>
  </si>
  <si>
    <t xml:space="preserve"> The Social Implications of Computing </t>
  </si>
  <si>
    <t xml:space="preserve"> Environmental Sustainability and Ethics </t>
  </si>
  <si>
    <t xml:space="preserve"> Sustainability: The Future We Want </t>
  </si>
  <si>
    <t xml:space="preserve"> Environmental and Sustainability Assessment 1 </t>
  </si>
  <si>
    <t xml:space="preserve"> Environmental and Sustainability Assessment 2 </t>
  </si>
  <si>
    <t xml:space="preserve"> Topics for List A Complementary Studies Courses Taken on Exchange by Engineering Students </t>
  </si>
  <si>
    <t xml:space="preserve"> Climate Change Fundamentals </t>
  </si>
  <si>
    <t xml:space="preserve"> Human Dimensions of Natural Hazards </t>
  </si>
  <si>
    <t xml:space="preserve"> Environment and Development in a Global Perspective </t>
  </si>
  <si>
    <t xml:space="preserve"> Ecology and Conservation for Planning </t>
  </si>
  <si>
    <t xml:space="preserve"> Technology, Gender, and Social Justice </t>
  </si>
  <si>
    <t xml:space="preserve"> The Computing Society </t>
  </si>
  <si>
    <t xml:space="preserve"> Economic Impact of Technological Change and Entrepreneurship </t>
  </si>
  <si>
    <t xml:space="preserve"> Impact of Information Systems on Organizations and Society </t>
  </si>
  <si>
    <t xml:space="preserve"> Societal and Environmental Impacts of Nanotechnology </t>
  </si>
  <si>
    <t xml:space="preserve"> Engineering and Peace </t>
  </si>
  <si>
    <t xml:space="preserve"> Biomedical Ethics </t>
  </si>
  <si>
    <t xml:space="preserve"> Ethics and Artificial Intelligence </t>
  </si>
  <si>
    <t xml:space="preserve"> Technology and Social Change </t>
  </si>
  <si>
    <t xml:space="preserve"> Digital Cultures </t>
  </si>
  <si>
    <t xml:space="preserve"> Society, Technology and Values: Introduction </t>
  </si>
  <si>
    <t xml:space="preserve"> Design and Society </t>
  </si>
  <si>
    <t xml:space="preserve"> Cybernetics and Society </t>
  </si>
  <si>
    <t xml:space="preserve"> Artificial Intelligence and Society: Impact, Ethics, and Equity </t>
  </si>
  <si>
    <t xml:space="preserve"> Technology and Society in Film </t>
  </si>
  <si>
    <t xml:space="preserve"> Information Technology and Society </t>
  </si>
  <si>
    <t xml:space="preserve"> Technology in Canadian Society </t>
  </si>
  <si>
    <t xml:space="preserve"> Technology, Society and the Modern City </t>
  </si>
  <si>
    <t xml:space="preserve"> Biotechnology and Society </t>
  </si>
  <si>
    <t xml:space="preserve"> Culture of Design, Impacts </t>
  </si>
  <si>
    <t>List B</t>
  </si>
  <si>
    <t xml:space="preserve">AE392 </t>
  </si>
  <si>
    <t xml:space="preserve">BME364 </t>
  </si>
  <si>
    <t xml:space="preserve">CHE380 </t>
  </si>
  <si>
    <t xml:space="preserve">CIVE392 </t>
  </si>
  <si>
    <t xml:space="preserve">ENVE392 </t>
  </si>
  <si>
    <t xml:space="preserve">GENE311B </t>
  </si>
  <si>
    <t xml:space="preserve">GEOE392 </t>
  </si>
  <si>
    <t xml:space="preserve">MSE261 </t>
  </si>
  <si>
    <t xml:space="preserve">SYDE262 </t>
  </si>
  <si>
    <t xml:space="preserve"> Economics and Life Cycle Cost Analysis </t>
  </si>
  <si>
    <t xml:space="preserve"> Engineering Biomedical Economics </t>
  </si>
  <si>
    <t xml:space="preserve"> Sustainability in Chemical Engineering </t>
  </si>
  <si>
    <t xml:space="preserve"> Topics for List B Complementary Studies Courses Taken on Exchange by Engineering Students </t>
  </si>
  <si>
    <t xml:space="preserve"> Engineering Economics: Financial Management for Engineers </t>
  </si>
  <si>
    <t xml:space="preserve"> Engineering Economics and Sustainability </t>
  </si>
  <si>
    <t>List C</t>
  </si>
  <si>
    <t xml:space="preserve">AE101 </t>
  </si>
  <si>
    <t xml:space="preserve">AE491 </t>
  </si>
  <si>
    <t xml:space="preserve">AFM131 </t>
  </si>
  <si>
    <t xml:space="preserve">AFM333 </t>
  </si>
  <si>
    <t xml:space="preserve">ARCH510 </t>
  </si>
  <si>
    <t xml:space="preserve">ARCH520 </t>
  </si>
  <si>
    <t xml:space="preserve">ARCH540 </t>
  </si>
  <si>
    <t xml:space="preserve">ARCH580 </t>
  </si>
  <si>
    <t xml:space="preserve">AVIA100 </t>
  </si>
  <si>
    <t xml:space="preserve">BME530 </t>
  </si>
  <si>
    <t xml:space="preserve">CIVE491 </t>
  </si>
  <si>
    <t xml:space="preserve">ENVE391 </t>
  </si>
  <si>
    <t xml:space="preserve">ENVS195 </t>
  </si>
  <si>
    <t xml:space="preserve">ENVS201 </t>
  </si>
  <si>
    <t xml:space="preserve">ENVS210 </t>
  </si>
  <si>
    <t xml:space="preserve">ENVS220 </t>
  </si>
  <si>
    <t xml:space="preserve">ENVS310 </t>
  </si>
  <si>
    <t xml:space="preserve">ENVS401 </t>
  </si>
  <si>
    <t xml:space="preserve">ERS222 </t>
  </si>
  <si>
    <t xml:space="preserve">ERS225 </t>
  </si>
  <si>
    <t xml:space="preserve">ERS253 </t>
  </si>
  <si>
    <t xml:space="preserve">ERS288 </t>
  </si>
  <si>
    <t xml:space="preserve">ERS294 </t>
  </si>
  <si>
    <t xml:space="preserve">ERS320 </t>
  </si>
  <si>
    <t xml:space="preserve">ERS328 </t>
  </si>
  <si>
    <t xml:space="preserve">ERS361 </t>
  </si>
  <si>
    <t xml:space="preserve">ERS365 </t>
  </si>
  <si>
    <t xml:space="preserve">ERS372 </t>
  </si>
  <si>
    <t xml:space="preserve">ERS404 </t>
  </si>
  <si>
    <t xml:space="preserve">ERS454 </t>
  </si>
  <si>
    <t xml:space="preserve">ERS460 </t>
  </si>
  <si>
    <t xml:space="preserve">ERS462 </t>
  </si>
  <si>
    <t xml:space="preserve">GENE311C </t>
  </si>
  <si>
    <t xml:space="preserve">GENE315 </t>
  </si>
  <si>
    <t xml:space="preserve">GENE415 </t>
  </si>
  <si>
    <t xml:space="preserve">GEOE391 </t>
  </si>
  <si>
    <t xml:space="preserve">GEOG101 </t>
  </si>
  <si>
    <t xml:space="preserve">GEOG202 </t>
  </si>
  <si>
    <t xml:space="preserve">GEOG219 </t>
  </si>
  <si>
    <t xml:space="preserve">GEOG222 </t>
  </si>
  <si>
    <t xml:space="preserve">GEOG225 </t>
  </si>
  <si>
    <t xml:space="preserve">GEOG233 </t>
  </si>
  <si>
    <t xml:space="preserve">GEOG307 </t>
  </si>
  <si>
    <t xml:space="preserve">GEOG311 </t>
  </si>
  <si>
    <t xml:space="preserve">GEOG314 </t>
  </si>
  <si>
    <t xml:space="preserve">GEOG323 </t>
  </si>
  <si>
    <t xml:space="preserve">GEOG325 </t>
  </si>
  <si>
    <t xml:space="preserve">GEOG349 </t>
  </si>
  <si>
    <t xml:space="preserve">GEOG361 </t>
  </si>
  <si>
    <t xml:space="preserve">GEOG411 </t>
  </si>
  <si>
    <t xml:space="preserve">GEOG423 </t>
  </si>
  <si>
    <t xml:space="preserve">GEOG432 </t>
  </si>
  <si>
    <t xml:space="preserve">GEOG460 </t>
  </si>
  <si>
    <t xml:space="preserve">GEOG462 </t>
  </si>
  <si>
    <t xml:space="preserve">HEALTH107 </t>
  </si>
  <si>
    <t xml:space="preserve">HLTH101 </t>
  </si>
  <si>
    <t xml:space="preserve">HLTH102 </t>
  </si>
  <si>
    <t xml:space="preserve">HLTH201 </t>
  </si>
  <si>
    <t xml:space="preserve">HLTH218 </t>
  </si>
  <si>
    <t xml:space="preserve">HLTH220 </t>
  </si>
  <si>
    <t xml:space="preserve">HLTH245 </t>
  </si>
  <si>
    <t xml:space="preserve">HLTH253 </t>
  </si>
  <si>
    <t xml:space="preserve">HLTH260 </t>
  </si>
  <si>
    <t xml:space="preserve">HLTH301 </t>
  </si>
  <si>
    <t xml:space="preserve">HLTH352 </t>
  </si>
  <si>
    <t xml:space="preserve">HLTH380 </t>
  </si>
  <si>
    <t xml:space="preserve">HLTH412 </t>
  </si>
  <si>
    <t xml:space="preserve">HLTH420 </t>
  </si>
  <si>
    <t xml:space="preserve">KIN352 </t>
  </si>
  <si>
    <t xml:space="preserve">KIN354 </t>
  </si>
  <si>
    <t xml:space="preserve">MSE211 </t>
  </si>
  <si>
    <t xml:space="preserve">MSE263 </t>
  </si>
  <si>
    <t xml:space="preserve">MSE311 </t>
  </si>
  <si>
    <t xml:space="preserve">MSE411 </t>
  </si>
  <si>
    <t xml:space="preserve">MSE454 </t>
  </si>
  <si>
    <t xml:space="preserve">PLAN100 </t>
  </si>
  <si>
    <t xml:space="preserve">PLAN262 </t>
  </si>
  <si>
    <t xml:space="preserve">PLAN349 </t>
  </si>
  <si>
    <t xml:space="preserve">PLAN414 </t>
  </si>
  <si>
    <t xml:space="preserve">PLAN415 </t>
  </si>
  <si>
    <t xml:space="preserve">PLAN431 </t>
  </si>
  <si>
    <t xml:space="preserve">PLAN432 </t>
  </si>
  <si>
    <t xml:space="preserve">PLAN433 </t>
  </si>
  <si>
    <t xml:space="preserve">PLAN471 </t>
  </si>
  <si>
    <t xml:space="preserve">SCI266 </t>
  </si>
  <si>
    <t xml:space="preserve">SCI267 </t>
  </si>
  <si>
    <t xml:space="preserve"> History of the Built Environment </t>
  </si>
  <si>
    <t xml:space="preserve"> Engineering Law and Ethics </t>
  </si>
  <si>
    <t xml:space="preserve"> Introduction to Business in North America </t>
  </si>
  <si>
    <t xml:space="preserve"> International Business </t>
  </si>
  <si>
    <t xml:space="preserve"> Special Topics in Visual and Digital Media </t>
  </si>
  <si>
    <t xml:space="preserve"> Special Topics in Urbanism and Landscape </t>
  </si>
  <si>
    <t xml:space="preserve"> Special Topics in Architectural History and Theory </t>
  </si>
  <si>
    <t xml:space="preserve"> Special Topics in Race, Equity, and Environmental Justice </t>
  </si>
  <si>
    <t xml:space="preserve"> Introduction to Aviation </t>
  </si>
  <si>
    <t xml:space="preserve"> The Health Care System </t>
  </si>
  <si>
    <t xml:space="preserve"> Law and Ethics for Environmental and Geological Engineers </t>
  </si>
  <si>
    <t xml:space="preserve"> Introduction to Environmental Studies </t>
  </si>
  <si>
    <t xml:space="preserve"> Introduction to Canadian Environmental Law </t>
  </si>
  <si>
    <t xml:space="preserve"> Future Studies </t>
  </si>
  <si>
    <t xml:space="preserve"> Ecological Economics </t>
  </si>
  <si>
    <t xml:space="preserve"> Future Cities: Integrating Future Thinking into Urban Decisions </t>
  </si>
  <si>
    <t xml:space="preserve"> Canadian Law, Indigenous Peoples, and Natural Resource Development </t>
  </si>
  <si>
    <t xml:space="preserve"> War and the Environment </t>
  </si>
  <si>
    <t xml:space="preserve"> Gendering Environmental Politics </t>
  </si>
  <si>
    <t xml:space="preserve"> Communities and Sustainability </t>
  </si>
  <si>
    <t xml:space="preserve"> Literature for an Ailing Planet </t>
  </si>
  <si>
    <t xml:space="preserve"> Spirituality, Religion, and Ecology </t>
  </si>
  <si>
    <t xml:space="preserve"> Economics and Sustainability </t>
  </si>
  <si>
    <t xml:space="preserve"> Environmental Politics and System Change </t>
  </si>
  <si>
    <t xml:space="preserve"> Food Systems and Sustainability </t>
  </si>
  <si>
    <t xml:space="preserve"> Water Governance </t>
  </si>
  <si>
    <t xml:space="preserve"> First Nations and the Environment </t>
  </si>
  <si>
    <t xml:space="preserve"> Global Environmental Governance </t>
  </si>
  <si>
    <t xml:space="preserve"> Parks and Protected Areas: Issues and Trends </t>
  </si>
  <si>
    <t xml:space="preserve"> Sustainable Food: Localizing Food Systems </t>
  </si>
  <si>
    <t xml:space="preserve"> Global Food and Agricultural Politics </t>
  </si>
  <si>
    <t xml:space="preserve"> Topics for List C Complementary Studies Courses Taken on Exchange by Engineering Students </t>
  </si>
  <si>
    <t xml:space="preserve"> Changing Human Environments </t>
  </si>
  <si>
    <t xml:space="preserve"> Economy and Development: Spaces of Global Transformation </t>
  </si>
  <si>
    <t xml:space="preserve"> How Pandemics Change the World </t>
  </si>
  <si>
    <t xml:space="preserve"> Geographical Study of Canada </t>
  </si>
  <si>
    <t xml:space="preserve"> Global Environment and Health </t>
  </si>
  <si>
    <t xml:space="preserve"> Geography of Tourism </t>
  </si>
  <si>
    <t xml:space="preserve"> Societal Adaptation to Climate Change </t>
  </si>
  <si>
    <t xml:space="preserve"> The Global Economy </t>
  </si>
  <si>
    <t xml:space="preserve"> Climate Services </t>
  </si>
  <si>
    <t xml:space="preserve"> Geographies of Health </t>
  </si>
  <si>
    <t xml:space="preserve"> Urban Form and Spatial Structure </t>
  </si>
  <si>
    <t xml:space="preserve"> The Digital Economy </t>
  </si>
  <si>
    <t xml:space="preserve"> Sustainable Tourism </t>
  </si>
  <si>
    <t xml:space="preserve"> Health and the Built Environment </t>
  </si>
  <si>
    <t xml:space="preserve"> Introduction to Health 1 </t>
  </si>
  <si>
    <t xml:space="preserve"> Introduction to Health 2 </t>
  </si>
  <si>
    <t xml:space="preserve"> Aging and Health </t>
  </si>
  <si>
    <t xml:space="preserve"> Psychology of Death and Dying </t>
  </si>
  <si>
    <t xml:space="preserve"> Psychosocial Perspectives on Lifespan Development and Health </t>
  </si>
  <si>
    <t xml:space="preserve"> Canadian Health Systems </t>
  </si>
  <si>
    <t xml:space="preserve"> Demographic Change in Canada </t>
  </si>
  <si>
    <t xml:space="preserve"> Social Determinants of Health </t>
  </si>
  <si>
    <t xml:space="preserve"> Applied Health Promotion: Theory and Community Engagement </t>
  </si>
  <si>
    <t xml:space="preserve"> Sociology of Aging </t>
  </si>
  <si>
    <t xml:space="preserve"> Applied Public Health Ethics </t>
  </si>
  <si>
    <t xml:space="preserve"> Comparative Health Systems </t>
  </si>
  <si>
    <t xml:space="preserve"> Psychology of Physical Activity </t>
  </si>
  <si>
    <t xml:space="preserve"> Organizational Behaviour </t>
  </si>
  <si>
    <t xml:space="preserve"> Managerial Economics </t>
  </si>
  <si>
    <t xml:space="preserve"> Organizational Design and Technology </t>
  </si>
  <si>
    <t xml:space="preserve"> Leadership and Influence </t>
  </si>
  <si>
    <t xml:space="preserve"> Technical Entrepreneurship </t>
  </si>
  <si>
    <t xml:space="preserve"> Urbanization Today: Introduction to Cities and Regions </t>
  </si>
  <si>
    <t xml:space="preserve"> Introduction to Global Emerging Cities </t>
  </si>
  <si>
    <t xml:space="preserve"> Heritage Conservation Planning </t>
  </si>
  <si>
    <t xml:space="preserve"> Urban Planning and Development in Transitional China </t>
  </si>
  <si>
    <t xml:space="preserve"> Issues in Housing </t>
  </si>
  <si>
    <t xml:space="preserve"> Social Issues in Planning </t>
  </si>
  <si>
    <t xml:space="preserve"> Planning and Municipal Law </t>
  </si>
  <si>
    <t xml:space="preserve"> Ancient Science </t>
  </si>
  <si>
    <t xml:space="preserve"> Introduction to the Philosophy of Science </t>
  </si>
  <si>
    <t xml:space="preserve"> Special Directed Non-Technical Studies </t>
  </si>
  <si>
    <t xml:space="preserve"> Non-Technical Studies: Practical Analysis of Student Leadership Experiences </t>
  </si>
  <si>
    <t xml:space="preserve"> Tourism Impacts - International Perspectives </t>
  </si>
  <si>
    <t xml:space="preserve"> Sociology of Activity, Health, and Well-Being </t>
  </si>
  <si>
    <t>List D</t>
  </si>
  <si>
    <t xml:space="preserve">BLKST308 </t>
  </si>
  <si>
    <t xml:space="preserve">BLKST380 </t>
  </si>
  <si>
    <t xml:space="preserve">COMMST100 </t>
  </si>
  <si>
    <t xml:space="preserve">COMMST102 </t>
  </si>
  <si>
    <t xml:space="preserve">COMMST149 </t>
  </si>
  <si>
    <t xml:space="preserve">COMMST220 </t>
  </si>
  <si>
    <t xml:space="preserve">COMMST223 </t>
  </si>
  <si>
    <t xml:space="preserve">COMMST225 </t>
  </si>
  <si>
    <t xml:space="preserve">COMMST227 </t>
  </si>
  <si>
    <t xml:space="preserve">COMMST308 </t>
  </si>
  <si>
    <t xml:space="preserve">COMMST323 </t>
  </si>
  <si>
    <t xml:space="preserve">COMMST324 </t>
  </si>
  <si>
    <t xml:space="preserve">COMMST325 </t>
  </si>
  <si>
    <t xml:space="preserve">COMMST326 </t>
  </si>
  <si>
    <t xml:space="preserve">COMMST433 </t>
  </si>
  <si>
    <t xml:space="preserve">COMMST440 </t>
  </si>
  <si>
    <t xml:space="preserve">DAC203 </t>
  </si>
  <si>
    <t xml:space="preserve">DAC209 </t>
  </si>
  <si>
    <t xml:space="preserve">DUTCH101 </t>
  </si>
  <si>
    <t xml:space="preserve">DUTCH102 </t>
  </si>
  <si>
    <t xml:space="preserve">ENGL109 </t>
  </si>
  <si>
    <t xml:space="preserve">ENGL119 </t>
  </si>
  <si>
    <t xml:space="preserve">ENGL129 </t>
  </si>
  <si>
    <t xml:space="preserve">ENGL140R </t>
  </si>
  <si>
    <t xml:space="preserve">ENGL209 </t>
  </si>
  <si>
    <t xml:space="preserve">ENGL210E </t>
  </si>
  <si>
    <t xml:space="preserve">ENGL210F </t>
  </si>
  <si>
    <t xml:space="preserve">ENGL210G </t>
  </si>
  <si>
    <t xml:space="preserve">ENGL210H </t>
  </si>
  <si>
    <t xml:space="preserve">ENGL210I </t>
  </si>
  <si>
    <t xml:space="preserve">ENGL210J </t>
  </si>
  <si>
    <t xml:space="preserve">ENGL304 </t>
  </si>
  <si>
    <t xml:space="preserve">ENGL306A </t>
  </si>
  <si>
    <t xml:space="preserve">ENGL306B </t>
  </si>
  <si>
    <t xml:space="preserve">ENGL306G </t>
  </si>
  <si>
    <t xml:space="preserve">ENGL309E </t>
  </si>
  <si>
    <t xml:space="preserve">ENGL373 </t>
  </si>
  <si>
    <t xml:space="preserve">ENGL375 </t>
  </si>
  <si>
    <t xml:space="preserve">ENGL408B </t>
  </si>
  <si>
    <t xml:space="preserve">ENGL408C </t>
  </si>
  <si>
    <t xml:space="preserve">ENVS131 </t>
  </si>
  <si>
    <t xml:space="preserve">ERS318 </t>
  </si>
  <si>
    <t xml:space="preserve">FINE100 </t>
  </si>
  <si>
    <t xml:space="preserve">FINE130 </t>
  </si>
  <si>
    <t xml:space="preserve">FINE150 </t>
  </si>
  <si>
    <t xml:space="preserve">FINE201 </t>
  </si>
  <si>
    <t xml:space="preserve">FINE202 </t>
  </si>
  <si>
    <t xml:space="preserve">FINE204 </t>
  </si>
  <si>
    <t xml:space="preserve">FINE220 </t>
  </si>
  <si>
    <t xml:space="preserve">FINE221 </t>
  </si>
  <si>
    <t xml:space="preserve">FINE222 </t>
  </si>
  <si>
    <t xml:space="preserve">FINE223 </t>
  </si>
  <si>
    <t xml:space="preserve">FINE224 </t>
  </si>
  <si>
    <t xml:space="preserve">FINE225 </t>
  </si>
  <si>
    <t xml:space="preserve">FINE226 </t>
  </si>
  <si>
    <t xml:space="preserve">FINE227 </t>
  </si>
  <si>
    <t xml:space="preserve">FINE228 </t>
  </si>
  <si>
    <t xml:space="preserve">FINE230 </t>
  </si>
  <si>
    <t xml:space="preserve">FINE231 </t>
  </si>
  <si>
    <t xml:space="preserve">FINE232 </t>
  </si>
  <si>
    <t xml:space="preserve">FINE246 </t>
  </si>
  <si>
    <t xml:space="preserve">FINE247 </t>
  </si>
  <si>
    <t xml:space="preserve">FINE271 </t>
  </si>
  <si>
    <t xml:space="preserve">FINE272 </t>
  </si>
  <si>
    <t xml:space="preserve">FINE383 </t>
  </si>
  <si>
    <t xml:space="preserve">FINE392 </t>
  </si>
  <si>
    <t xml:space="preserve">FR101 </t>
  </si>
  <si>
    <t xml:space="preserve">FR151 </t>
  </si>
  <si>
    <t xml:space="preserve">FR152 </t>
  </si>
  <si>
    <t xml:space="preserve">FR192A </t>
  </si>
  <si>
    <t xml:space="preserve">FR192B </t>
  </si>
  <si>
    <t xml:space="preserve">FR203 </t>
  </si>
  <si>
    <t xml:space="preserve">FR250 </t>
  </si>
  <si>
    <t xml:space="preserve">FR251 </t>
  </si>
  <si>
    <t xml:space="preserve">FR252 </t>
  </si>
  <si>
    <t xml:space="preserve">FR255 </t>
  </si>
  <si>
    <t xml:space="preserve">FR303 </t>
  </si>
  <si>
    <t xml:space="preserve">FR351 </t>
  </si>
  <si>
    <t xml:space="preserve">FR353 </t>
  </si>
  <si>
    <t xml:space="preserve">FR355 </t>
  </si>
  <si>
    <t xml:space="preserve">FR400 </t>
  </si>
  <si>
    <t xml:space="preserve">FR403 </t>
  </si>
  <si>
    <t xml:space="preserve">FR452 </t>
  </si>
  <si>
    <t xml:space="preserve">GENE311D </t>
  </si>
  <si>
    <t xml:space="preserve">GEOG417 </t>
  </si>
  <si>
    <t xml:space="preserve">GER101 </t>
  </si>
  <si>
    <t xml:space="preserve">GER102 </t>
  </si>
  <si>
    <t xml:space="preserve">GER201 </t>
  </si>
  <si>
    <t xml:space="preserve">GER202 </t>
  </si>
  <si>
    <t xml:space="preserve">GER211 </t>
  </si>
  <si>
    <t xml:space="preserve">GER250 </t>
  </si>
  <si>
    <t xml:space="preserve">GER261 </t>
  </si>
  <si>
    <t xml:space="preserve">GER303 </t>
  </si>
  <si>
    <t xml:space="preserve">GER304 </t>
  </si>
  <si>
    <t xml:space="preserve">GER307 </t>
  </si>
  <si>
    <t xml:space="preserve">GER308 </t>
  </si>
  <si>
    <t xml:space="preserve">GER331 </t>
  </si>
  <si>
    <t xml:space="preserve">GER350 </t>
  </si>
  <si>
    <t xml:space="preserve">GRK101 </t>
  </si>
  <si>
    <t xml:space="preserve">GRK102 </t>
  </si>
  <si>
    <t xml:space="preserve">GRK105 </t>
  </si>
  <si>
    <t xml:space="preserve">GRK201 </t>
  </si>
  <si>
    <t xml:space="preserve">HEALTH100 </t>
  </si>
  <si>
    <t xml:space="preserve">HEALTH105 </t>
  </si>
  <si>
    <t xml:space="preserve">INDG101 </t>
  </si>
  <si>
    <t xml:space="preserve">INDG102 </t>
  </si>
  <si>
    <t xml:space="preserve">LAT101 </t>
  </si>
  <si>
    <t xml:space="preserve">LAT102 </t>
  </si>
  <si>
    <t xml:space="preserve">LAT201 </t>
  </si>
  <si>
    <t xml:space="preserve">LAT351 </t>
  </si>
  <si>
    <t xml:space="preserve">LAT451 </t>
  </si>
  <si>
    <t xml:space="preserve">LS291 </t>
  </si>
  <si>
    <t xml:space="preserve">MUSIC111 </t>
  </si>
  <si>
    <t xml:space="preserve">MUSIC222 </t>
  </si>
  <si>
    <t xml:space="preserve">MUSIC226 </t>
  </si>
  <si>
    <t xml:space="preserve">MUSIC227 </t>
  </si>
  <si>
    <t xml:space="preserve">MUSIC233 </t>
  </si>
  <si>
    <t xml:space="preserve">MUSIC270 </t>
  </si>
  <si>
    <t xml:space="preserve">MUSIC271 </t>
  </si>
  <si>
    <t xml:space="preserve">MUSIC275 </t>
  </si>
  <si>
    <t xml:space="preserve">MUSIC322 </t>
  </si>
  <si>
    <t xml:space="preserve">MUSIC370 </t>
  </si>
  <si>
    <t xml:space="preserve">MUSIC371 </t>
  </si>
  <si>
    <t xml:space="preserve">MUSIC376 </t>
  </si>
  <si>
    <t xml:space="preserve">RCS101 </t>
  </si>
  <si>
    <t xml:space="preserve">RCS102 </t>
  </si>
  <si>
    <t xml:space="preserve">RCS223 </t>
  </si>
  <si>
    <t xml:space="preserve">RCS224 </t>
  </si>
  <si>
    <t xml:space="preserve">SPAN101 </t>
  </si>
  <si>
    <t xml:space="preserve">SPAN102 </t>
  </si>
  <si>
    <t xml:space="preserve">SPAN201A </t>
  </si>
  <si>
    <t xml:space="preserve">SPAN201B </t>
  </si>
  <si>
    <t xml:space="preserve">SPAN210 </t>
  </si>
  <si>
    <t xml:space="preserve">SPAN290 </t>
  </si>
  <si>
    <t xml:space="preserve">SPAN301A </t>
  </si>
  <si>
    <t xml:space="preserve">SPAN301B </t>
  </si>
  <si>
    <t xml:space="preserve">SPAN390 </t>
  </si>
  <si>
    <t xml:space="preserve">SPAN395 </t>
  </si>
  <si>
    <t xml:space="preserve">SPAN490 </t>
  </si>
  <si>
    <t xml:space="preserve">THPERF100 </t>
  </si>
  <si>
    <t xml:space="preserve">THPERF102 </t>
  </si>
  <si>
    <t xml:space="preserve">THPERF149 </t>
  </si>
  <si>
    <t xml:space="preserve">THPERF220 </t>
  </si>
  <si>
    <t xml:space="preserve">THPERF221 </t>
  </si>
  <si>
    <t xml:space="preserve">THPERF222 </t>
  </si>
  <si>
    <t xml:space="preserve">THPERF301 </t>
  </si>
  <si>
    <t xml:space="preserve">THPERF321 </t>
  </si>
  <si>
    <t xml:space="preserve">THPERF322 </t>
  </si>
  <si>
    <t xml:space="preserve">THPERF326 </t>
  </si>
  <si>
    <t xml:space="preserve">THPERF343 </t>
  </si>
  <si>
    <t xml:space="preserve">THPERF361 </t>
  </si>
  <si>
    <t xml:space="preserve">THPERF366 </t>
  </si>
  <si>
    <t xml:space="preserve">THPERF379 </t>
  </si>
  <si>
    <t xml:space="preserve">THPERF380 </t>
  </si>
  <si>
    <t xml:space="preserve">THPERF440 </t>
  </si>
  <si>
    <t xml:space="preserve"> Writing Anti-Racism </t>
  </si>
  <si>
    <t xml:space="preserve"> Black Theatre in Practice </t>
  </si>
  <si>
    <t xml:space="preserve"> Interpersonal Communication </t>
  </si>
  <si>
    <t xml:space="preserve"> Introduction to Performance </t>
  </si>
  <si>
    <t xml:space="preserve"> Introduction to Critical Design Practices </t>
  </si>
  <si>
    <t xml:space="preserve"> Performance Studies </t>
  </si>
  <si>
    <t xml:space="preserve"> Public Speaking </t>
  </si>
  <si>
    <t xml:space="preserve"> Interviewing </t>
  </si>
  <si>
    <t xml:space="preserve"> Leadership </t>
  </si>
  <si>
    <t xml:space="preserve"> Speech Writing </t>
  </si>
  <si>
    <t xml:space="preserve"> Small Group Communication </t>
  </si>
  <si>
    <t xml:space="preserve"> Organizational Communication </t>
  </si>
  <si>
    <t xml:space="preserve"> Performing the Voice </t>
  </si>
  <si>
    <t xml:space="preserve"> The Organizational Consultant </t>
  </si>
  <si>
    <t xml:space="preserve"> Performative Inquiry and Practice </t>
  </si>
  <si>
    <t xml:space="preserve"> Designing Digital Sound </t>
  </si>
  <si>
    <t xml:space="preserve"> Elementary Dutch 1 </t>
  </si>
  <si>
    <t xml:space="preserve"> Elementary Dutch 2 </t>
  </si>
  <si>
    <t xml:space="preserve"> Introduction to Academic Writing </t>
  </si>
  <si>
    <t xml:space="preserve"> Communications in Mathematics and Computer Science </t>
  </si>
  <si>
    <t xml:space="preserve"> Written Academic English </t>
  </si>
  <si>
    <t xml:space="preserve"> The Use of English </t>
  </si>
  <si>
    <t xml:space="preserve"> Advanced Academic Writing </t>
  </si>
  <si>
    <t xml:space="preserve"> Genres of Technical Communication </t>
  </si>
  <si>
    <t xml:space="preserve"> Genres of Business Communication </t>
  </si>
  <si>
    <t xml:space="preserve"> Genres of Fundraising Communication </t>
  </si>
  <si>
    <t xml:space="preserve"> Arts Writing </t>
  </si>
  <si>
    <t xml:space="preserve"> Legal Writing </t>
  </si>
  <si>
    <t xml:space="preserve"> Technical Editing </t>
  </si>
  <si>
    <t xml:space="preserve"> Introduction to Linguistics </t>
  </si>
  <si>
    <t xml:space="preserve"> How English Grammar Works </t>
  </si>
  <si>
    <t xml:space="preserve"> Critical Discourse Analysis </t>
  </si>
  <si>
    <t xml:space="preserve"> Topics in Black Language and Linguistics </t>
  </si>
  <si>
    <t xml:space="preserve"> The Discourse of Advertising </t>
  </si>
  <si>
    <t xml:space="preserve"> The Rhetoric of Digital Design: Theory and Practice </t>
  </si>
  <si>
    <t xml:space="preserve"> Communications for Environmental Professions </t>
  </si>
  <si>
    <t xml:space="preserve"> Photography for Sustainability </t>
  </si>
  <si>
    <t xml:space="preserve"> Studio Fundamentals </t>
  </si>
  <si>
    <t xml:space="preserve"> Introduction to Digital Imaging </t>
  </si>
  <si>
    <t xml:space="preserve"> Appreciation and Expression </t>
  </si>
  <si>
    <t xml:space="preserve"> Special Topics in Studio for Non-Fine Arts Majors </t>
  </si>
  <si>
    <t xml:space="preserve"> Painting </t>
  </si>
  <si>
    <t xml:space="preserve"> Topics in Studio Practice </t>
  </si>
  <si>
    <t xml:space="preserve"> Oil Painting </t>
  </si>
  <si>
    <t xml:space="preserve"> Acrylic and Mixed Media </t>
  </si>
  <si>
    <t xml:space="preserve"> Principles of Sculpture </t>
  </si>
  <si>
    <t xml:space="preserve"> Methods and Materials of Sculpture </t>
  </si>
  <si>
    <t xml:space="preserve"> Expressive Drawing </t>
  </si>
  <si>
    <t xml:space="preserve"> Observational Drawing </t>
  </si>
  <si>
    <t xml:space="preserve"> Experimental Drawing </t>
  </si>
  <si>
    <t xml:space="preserve"> Photography </t>
  </si>
  <si>
    <t xml:space="preserve"> Design and Imaging </t>
  </si>
  <si>
    <t xml:space="preserve"> Printmaking </t>
  </si>
  <si>
    <t xml:space="preserve"> Mixed Multiples </t>
  </si>
  <si>
    <t xml:space="preserve"> Video and Sound </t>
  </si>
  <si>
    <t xml:space="preserve"> Expanded Media: Site and Intervention </t>
  </si>
  <si>
    <t xml:space="preserve"> Expanded Media: Interaction </t>
  </si>
  <si>
    <t xml:space="preserve"> Ceramics: Studies in Material Practice </t>
  </si>
  <si>
    <t xml:space="preserve"> Clay Studies </t>
  </si>
  <si>
    <t xml:space="preserve"> Computational Digital Art Studio </t>
  </si>
  <si>
    <t xml:space="preserve"> Technology Art Studio </t>
  </si>
  <si>
    <t xml:space="preserve"> Beginner French </t>
  </si>
  <si>
    <t xml:space="preserve"> Basic French 1 </t>
  </si>
  <si>
    <t xml:space="preserve"> Basic French 2 </t>
  </si>
  <si>
    <t xml:space="preserve"> French Language 1: Module 1 </t>
  </si>
  <si>
    <t xml:space="preserve"> French Language 1: Module 2 </t>
  </si>
  <si>
    <t xml:space="preserve"> Introduction to Phonetics of French </t>
  </si>
  <si>
    <t xml:space="preserve"> Intermediate Spoken French </t>
  </si>
  <si>
    <t xml:space="preserve"> French Language 2: Module 1 </t>
  </si>
  <si>
    <t xml:space="preserve"> French Language 2: Module 2 </t>
  </si>
  <si>
    <t xml:space="preserve"> Business French 1 </t>
  </si>
  <si>
    <t xml:space="preserve"> French Language 3 </t>
  </si>
  <si>
    <t xml:space="preserve"> Introduction to Translation </t>
  </si>
  <si>
    <t xml:space="preserve"> Business French 2 </t>
  </si>
  <si>
    <t xml:space="preserve"> Translation Theory and Practice </t>
  </si>
  <si>
    <t xml:space="preserve"> Sound Structure of French </t>
  </si>
  <si>
    <t xml:space="preserve"> Advanced French Language </t>
  </si>
  <si>
    <t xml:space="preserve"> Topics for List D Complementary Studies Courses Taken on Exchange by Engineering Students </t>
  </si>
  <si>
    <t xml:space="preserve"> Climate Change Communication </t>
  </si>
  <si>
    <t xml:space="preserve"> Elementary German 1 </t>
  </si>
  <si>
    <t xml:space="preserve"> Elementary German 2 </t>
  </si>
  <si>
    <t xml:space="preserve"> Intermediate German 1 </t>
  </si>
  <si>
    <t xml:space="preserve"> Intermediate German 2 </t>
  </si>
  <si>
    <t xml:space="preserve"> Contemporary German Language and Culture </t>
  </si>
  <si>
    <t xml:space="preserve"> Performance German 1 </t>
  </si>
  <si>
    <t xml:space="preserve"> Understanding Conversation </t>
  </si>
  <si>
    <t xml:space="preserve"> Interactive German Language and Culture </t>
  </si>
  <si>
    <t xml:space="preserve"> Reading and Translating </t>
  </si>
  <si>
    <t xml:space="preserve"> German for Professional Purposes </t>
  </si>
  <si>
    <t xml:space="preserve"> German Through Comics </t>
  </si>
  <si>
    <t xml:space="preserve"> Exploring German Language and Literature </t>
  </si>
  <si>
    <t xml:space="preserve"> Performance German 2 </t>
  </si>
  <si>
    <t xml:space="preserve"> Introductory Ancient Greek 1 </t>
  </si>
  <si>
    <t xml:space="preserve"> Introductory Ancient Greek 2 </t>
  </si>
  <si>
    <t xml:space="preserve"> Introductory Modern Greek </t>
  </si>
  <si>
    <t xml:space="preserve"> Intermediate Greek </t>
  </si>
  <si>
    <t xml:space="preserve"> Foundations of a Healthy Lifestyle </t>
  </si>
  <si>
    <t xml:space="preserve"> Mental Health Literacy </t>
  </si>
  <si>
    <t xml:space="preserve"> Mohawk Language 1 </t>
  </si>
  <si>
    <t xml:space="preserve"> Mohawk Language 2 </t>
  </si>
  <si>
    <t xml:space="preserve"> Introductory Latin 1 </t>
  </si>
  <si>
    <t xml:space="preserve"> Introductory Latin 2 </t>
  </si>
  <si>
    <t xml:space="preserve"> Intermediate Latin </t>
  </si>
  <si>
    <t xml:space="preserve"> Latin Composition, Grammar, and Reading </t>
  </si>
  <si>
    <t xml:space="preserve"> Senior Latin Composition, Grammar, and Reading </t>
  </si>
  <si>
    <t xml:space="preserve"> Fundamentals of Music Theory </t>
  </si>
  <si>
    <t xml:space="preserve"> Conducting 1 </t>
  </si>
  <si>
    <t xml:space="preserve"> Music Studio </t>
  </si>
  <si>
    <t xml:space="preserve"> Musical Rhythms of the World </t>
  </si>
  <si>
    <t xml:space="preserve"> Music Theory 1 </t>
  </si>
  <si>
    <t xml:space="preserve"> Music Theory 2 </t>
  </si>
  <si>
    <t xml:space="preserve"> Music and Technology </t>
  </si>
  <si>
    <t xml:space="preserve"> Conducting 2 </t>
  </si>
  <si>
    <t xml:space="preserve"> Composition Seminar </t>
  </si>
  <si>
    <t xml:space="preserve"> Selections from Greek Authors </t>
  </si>
  <si>
    <t xml:space="preserve"> Introduction to Spanish 1 </t>
  </si>
  <si>
    <t xml:space="preserve"> Introduction to Spanish 2 </t>
  </si>
  <si>
    <t xml:space="preserve"> Intermediate Spanish 1 </t>
  </si>
  <si>
    <t xml:space="preserve"> Intermediate Spanish 2 </t>
  </si>
  <si>
    <t xml:space="preserve"> Spanish Conversation </t>
  </si>
  <si>
    <t xml:space="preserve"> Approaches to Translation </t>
  </si>
  <si>
    <t xml:space="preserve"> Spanish in Context 1 </t>
  </si>
  <si>
    <t xml:space="preserve"> Spanish in Context 2 </t>
  </si>
  <si>
    <t xml:space="preserve"> Introduction to Spanish Business Translation </t>
  </si>
  <si>
    <t xml:space="preserve"> Cultural Dimensions in English/Spanish Literary Translation </t>
  </si>
  <si>
    <t xml:space="preserve"> Advanced Translation </t>
  </si>
  <si>
    <t xml:space="preserve"> Introduction to Theatre </t>
  </si>
  <si>
    <t xml:space="preserve"> Performing Text </t>
  </si>
  <si>
    <t xml:space="preserve"> Intermediate Performance </t>
  </si>
  <si>
    <t xml:space="preserve"> Performance Creation </t>
  </si>
  <si>
    <t xml:space="preserve"> Approaches to Acting with Text </t>
  </si>
  <si>
    <t xml:space="preserve"> Advanced Performance </t>
  </si>
  <si>
    <t xml:space="preserve"> Stage Management </t>
  </si>
  <si>
    <t xml:space="preserve"> Approaches to Directing </t>
  </si>
  <si>
    <t xml:space="preserve"> Writing for Performance </t>
  </si>
  <si>
    <t xml:space="preserve"> Mixed Reality Design </t>
  </si>
  <si>
    <t xml:space="preserve"> Music Theory 3 (19th Century) </t>
  </si>
  <si>
    <t xml:space="preserve"> Music Theory 4 (20th Century) </t>
  </si>
  <si>
    <t>Ethics</t>
  </si>
  <si>
    <t>List 1</t>
  </si>
  <si>
    <t>List 2</t>
  </si>
  <si>
    <t xml:space="preserve">COMMST191 </t>
  </si>
  <si>
    <t xml:space="preserve">ENGL191 </t>
  </si>
  <si>
    <t xml:space="preserve">CHE482 </t>
  </si>
  <si>
    <t xml:space="preserve">GENE403 </t>
  </si>
  <si>
    <t xml:space="preserve">CHE483 </t>
  </si>
  <si>
    <t xml:space="preserve">GENE404 </t>
  </si>
  <si>
    <t xml:space="preserve">ARBUS202 </t>
  </si>
  <si>
    <t xml:space="preserve">PD22 </t>
  </si>
  <si>
    <t xml:space="preserve">PHIL215 </t>
  </si>
  <si>
    <t xml:space="preserve">PHIL219J </t>
  </si>
  <si>
    <t xml:space="preserve">PHIL315 </t>
  </si>
  <si>
    <t xml:space="preserve">CHE500 </t>
  </si>
  <si>
    <t xml:space="preserve">CHE514 </t>
  </si>
  <si>
    <t xml:space="preserve">CHE516 </t>
  </si>
  <si>
    <t xml:space="preserve">CHE520 </t>
  </si>
  <si>
    <t xml:space="preserve">CHE521 </t>
  </si>
  <si>
    <t xml:space="preserve">CHE522 </t>
  </si>
  <si>
    <t xml:space="preserve">CHE523 </t>
  </si>
  <si>
    <t xml:space="preserve">CHE524 </t>
  </si>
  <si>
    <t xml:space="preserve">CHE541 </t>
  </si>
  <si>
    <t xml:space="preserve">CHE543 </t>
  </si>
  <si>
    <t xml:space="preserve">CHE560 </t>
  </si>
  <si>
    <t xml:space="preserve">CHE561 </t>
  </si>
  <si>
    <t xml:space="preserve">CHE562 </t>
  </si>
  <si>
    <t xml:space="preserve">CHE564 </t>
  </si>
  <si>
    <t xml:space="preserve">CHE565 </t>
  </si>
  <si>
    <t xml:space="preserve">CHE571 </t>
  </si>
  <si>
    <t xml:space="preserve">CHE572 </t>
  </si>
  <si>
    <t xml:space="preserve">CHE574 </t>
  </si>
  <si>
    <t xml:space="preserve">CHE499 </t>
  </si>
  <si>
    <t xml:space="preserve">EARTH456 </t>
  </si>
  <si>
    <t xml:space="preserve">EARTH458 </t>
  </si>
  <si>
    <t xml:space="preserve">EARTH459 </t>
  </si>
  <si>
    <t xml:space="preserve">ENVE376 </t>
  </si>
  <si>
    <t xml:space="preserve">ENVE573 </t>
  </si>
  <si>
    <t xml:space="preserve">ENVE577 </t>
  </si>
  <si>
    <t xml:space="preserve">ME362 </t>
  </si>
  <si>
    <t xml:space="preserve">ME435 </t>
  </si>
  <si>
    <t xml:space="preserve">ME452 </t>
  </si>
  <si>
    <t xml:space="preserve">ME459 </t>
  </si>
  <si>
    <t xml:space="preserve">ME531 </t>
  </si>
  <si>
    <t xml:space="preserve">ME533 </t>
  </si>
  <si>
    <t xml:space="preserve">ME559 </t>
  </si>
  <si>
    <t xml:space="preserve">ME566 </t>
  </si>
  <si>
    <t xml:space="preserve">ME571 </t>
  </si>
  <si>
    <t xml:space="preserve">MSE332 </t>
  </si>
  <si>
    <t xml:space="preserve">MSE431 </t>
  </si>
  <si>
    <t xml:space="preserve">MSE432 </t>
  </si>
  <si>
    <t xml:space="preserve">MSE551 </t>
  </si>
  <si>
    <t xml:space="preserve">NE352 </t>
  </si>
  <si>
    <t xml:space="preserve">NE451 </t>
  </si>
  <si>
    <t xml:space="preserve">SYDE531 </t>
  </si>
  <si>
    <t xml:space="preserve"> Group Design Project </t>
  </si>
  <si>
    <t xml:space="preserve"> Interdisciplinary Design Project 1 </t>
  </si>
  <si>
    <t xml:space="preserve"> Group Design Project and Symposium </t>
  </si>
  <si>
    <t xml:space="preserve"> Interdisciplinary Design Project 2 </t>
  </si>
  <si>
    <t xml:space="preserve"> Professional and Business Ethics </t>
  </si>
  <si>
    <t xml:space="preserve"> Professionalism and Ethics in Engineering Practice </t>
  </si>
  <si>
    <t xml:space="preserve"> Practical Ethics </t>
  </si>
  <si>
    <t xml:space="preserve"> Ethics and the Engineering Profession </t>
  </si>
  <si>
    <t xml:space="preserve"> Special Topics in Chemical Engineering </t>
  </si>
  <si>
    <t xml:space="preserve"> Fundamentals of Petroleum Production </t>
  </si>
  <si>
    <t xml:space="preserve"> Energy Systems Engineering </t>
  </si>
  <si>
    <t xml:space="preserve"> Process Modelling and Simulation </t>
  </si>
  <si>
    <t xml:space="preserve"> Process Optimization </t>
  </si>
  <si>
    <t xml:space="preserve"> Advanced Process Dynamics and Control </t>
  </si>
  <si>
    <t xml:space="preserve"> Introduction to Machine Learning and Data Science </t>
  </si>
  <si>
    <t xml:space="preserve"> Process Control Laboratory </t>
  </si>
  <si>
    <t xml:space="preserve"> Introduction to Polymer Science and Properties </t>
  </si>
  <si>
    <t xml:space="preserve"> Polymer Production: Polymer Reaction Engineering </t>
  </si>
  <si>
    <t xml:space="preserve"> Nanomedicine and Nanobiotechnology </t>
  </si>
  <si>
    <t xml:space="preserve"> Biomaterials and Tissue Engineering </t>
  </si>
  <si>
    <t xml:space="preserve"> Advanced Bioprocess Engineering </t>
  </si>
  <si>
    <t xml:space="preserve"> Food Process Engineering </t>
  </si>
  <si>
    <t xml:space="preserve"> Synthetic Biology Project Design </t>
  </si>
  <si>
    <t xml:space="preserve"> Industrial Ecology </t>
  </si>
  <si>
    <t xml:space="preserve"> Air Pollution Control </t>
  </si>
  <si>
    <t xml:space="preserve"> Industrial Wastewater Pollution Control </t>
  </si>
  <si>
    <t xml:space="preserve"> Elective Research Project </t>
  </si>
  <si>
    <t xml:space="preserve"> Numerical Methods in Hydrogeology </t>
  </si>
  <si>
    <t xml:space="preserve"> Physical Hydrogeology </t>
  </si>
  <si>
    <t xml:space="preserve"> Chemical Hydrogeology </t>
  </si>
  <si>
    <t xml:space="preserve"> Biological Processes </t>
  </si>
  <si>
    <t xml:space="preserve"> Contaminant Transport </t>
  </si>
  <si>
    <t xml:space="preserve"> Engineering for Solid Waste Management </t>
  </si>
  <si>
    <t xml:space="preserve"> Fluid Mechanics 2 </t>
  </si>
  <si>
    <t xml:space="preserve"> Industrial Metallurgy </t>
  </si>
  <si>
    <t xml:space="preserve"> HVAC Load Analysis and Design Fundamentals </t>
  </si>
  <si>
    <t xml:space="preserve"> Energy Conversion </t>
  </si>
  <si>
    <t xml:space="preserve"> Physical Metallurgy Applied to Manufacturing </t>
  </si>
  <si>
    <t xml:space="preserve"> Non-Metallic and Composite Materials </t>
  </si>
  <si>
    <t xml:space="preserve"> Finite Element Methods </t>
  </si>
  <si>
    <t xml:space="preserve"> Computational Fluid Dynamics for Engineering Design </t>
  </si>
  <si>
    <t xml:space="preserve"> Clean Air Technologies </t>
  </si>
  <si>
    <t xml:space="preserve"> Deterministic Optimization Models and Methods </t>
  </si>
  <si>
    <t xml:space="preserve"> Stochastic Models and Methods </t>
  </si>
  <si>
    <t xml:space="preserve"> Production and Service Operations Management </t>
  </si>
  <si>
    <t xml:space="preserve"> Quality Management and Control </t>
  </si>
  <si>
    <t xml:space="preserve"> Surfaces and Interfaces </t>
  </si>
  <si>
    <t xml:space="preserve"> Simulation Methods </t>
  </si>
  <si>
    <t xml:space="preserve"> Design Optimization Under Probabilistic Uncertainty </t>
  </si>
  <si>
    <t xml:space="preserve"> Communication in the Engineering Profession (AE, CHE, CIVE, ENVE, GEOE) </t>
  </si>
  <si>
    <t>List</t>
  </si>
  <si>
    <t>Course ID</t>
  </si>
  <si>
    <t>Course Name</t>
  </si>
  <si>
    <t>Credit</t>
  </si>
  <si>
    <t>Term</t>
  </si>
  <si>
    <t>When</t>
  </si>
  <si>
    <t>STREAM</t>
  </si>
  <si>
    <t>Divider</t>
  </si>
  <si>
    <t># Courses from List</t>
  </si>
  <si>
    <t>Count</t>
  </si>
  <si>
    <t>Status</t>
  </si>
  <si>
    <t>Technical Electives</t>
  </si>
  <si>
    <t>Complimentary Electives</t>
  </si>
  <si>
    <t>A</t>
  </si>
  <si>
    <t>B</t>
  </si>
  <si>
    <t>C</t>
  </si>
  <si>
    <t>D</t>
  </si>
  <si>
    <t>Stream</t>
  </si>
  <si>
    <t>Time</t>
  </si>
  <si>
    <t>WT1</t>
  </si>
  <si>
    <t>WT2</t>
  </si>
  <si>
    <t>WT3</t>
  </si>
  <si>
    <t>WT4</t>
  </si>
  <si>
    <t>WT5</t>
  </si>
  <si>
    <t>WT6</t>
  </si>
  <si>
    <t xml:space="preserve">CHE102 </t>
  </si>
  <si>
    <t xml:space="preserve">CHE120 </t>
  </si>
  <si>
    <t xml:space="preserve">CHE180 </t>
  </si>
  <si>
    <t xml:space="preserve">MATH115 </t>
  </si>
  <si>
    <t xml:space="preserve">MATH116 </t>
  </si>
  <si>
    <t xml:space="preserve">CHE101 </t>
  </si>
  <si>
    <t xml:space="preserve">CHE161 </t>
  </si>
  <si>
    <t xml:space="preserve">CHE181 </t>
  </si>
  <si>
    <t xml:space="preserve">CHE191 </t>
  </si>
  <si>
    <t xml:space="preserve">MATH118 </t>
  </si>
  <si>
    <t xml:space="preserve">PHYS115 </t>
  </si>
  <si>
    <t xml:space="preserve">CHE200 </t>
  </si>
  <si>
    <t xml:space="preserve">CHE220 </t>
  </si>
  <si>
    <t xml:space="preserve">CHE230 </t>
  </si>
  <si>
    <t xml:space="preserve">CHE290 </t>
  </si>
  <si>
    <t xml:space="preserve">CHEM262 </t>
  </si>
  <si>
    <t xml:space="preserve">CHEM262L </t>
  </si>
  <si>
    <t xml:space="preserve">MATH217 </t>
  </si>
  <si>
    <t xml:space="preserve">CHE211 </t>
  </si>
  <si>
    <t xml:space="preserve">CHE225 </t>
  </si>
  <si>
    <t xml:space="preserve">CHE241 </t>
  </si>
  <si>
    <t xml:space="preserve">CHE291 </t>
  </si>
  <si>
    <t xml:space="preserve">MATH218 </t>
  </si>
  <si>
    <t xml:space="preserve">CHE312 </t>
  </si>
  <si>
    <t xml:space="preserve">CHE314 </t>
  </si>
  <si>
    <t xml:space="preserve">CHE322 </t>
  </si>
  <si>
    <t xml:space="preserve">CHE330 </t>
  </si>
  <si>
    <t xml:space="preserve">CHE390 </t>
  </si>
  <si>
    <t xml:space="preserve">CHE313 </t>
  </si>
  <si>
    <t xml:space="preserve">CHE331 </t>
  </si>
  <si>
    <t xml:space="preserve">CHE341 </t>
  </si>
  <si>
    <t xml:space="preserve">CHE361 </t>
  </si>
  <si>
    <t xml:space="preserve">CHE383 </t>
  </si>
  <si>
    <t xml:space="preserve">CHE450 </t>
  </si>
  <si>
    <t xml:space="preserve">CHE480 </t>
  </si>
  <si>
    <t xml:space="preserve">CHE490 </t>
  </si>
  <si>
    <t xml:space="preserve">CHE491 </t>
  </si>
  <si>
    <t xml:space="preserve"> Chemical Engineering Concepts 1 </t>
  </si>
  <si>
    <t xml:space="preserve"> Chemistry for Engineers </t>
  </si>
  <si>
    <t xml:space="preserve"> Computer Literacy and Programming for Chemical Engineers </t>
  </si>
  <si>
    <t xml:space="preserve"> Chemical Engineering Design Studio 1 </t>
  </si>
  <si>
    <t xml:space="preserve"> Linear Algebra for Engineering </t>
  </si>
  <si>
    <t xml:space="preserve"> Calculus 1 for Engineering </t>
  </si>
  <si>
    <t xml:space="preserve"> Chemical Engineering Concepts 2 </t>
  </si>
  <si>
    <t xml:space="preserve"> Engineering Biology </t>
  </si>
  <si>
    <t xml:space="preserve"> Chemical Engineering Design Studio 2 </t>
  </si>
  <si>
    <t xml:space="preserve"> Chemical Engineering Concepts Laboratory </t>
  </si>
  <si>
    <t xml:space="preserve"> Calculus 2 for Engineering </t>
  </si>
  <si>
    <t xml:space="preserve"> Mechanics </t>
  </si>
  <si>
    <t xml:space="preserve"> Equilibrium Stage Operations </t>
  </si>
  <si>
    <t xml:space="preserve"> Probability and Statistics </t>
  </si>
  <si>
    <t xml:space="preserve"> Physical Chemistry 1 </t>
  </si>
  <si>
    <t xml:space="preserve"> Chemical Engineering Laboratory 1 </t>
  </si>
  <si>
    <t xml:space="preserve"> Organic Chemistry for Engineering </t>
  </si>
  <si>
    <t xml:space="preserve"> Organic Chemistry Laboratory for Engineering Students </t>
  </si>
  <si>
    <t xml:space="preserve"> Calculus 3 for Chemical Engineering </t>
  </si>
  <si>
    <t xml:space="preserve"> Fluid Mechanics </t>
  </si>
  <si>
    <t xml:space="preserve"> Design of Experiments for Process Improvement </t>
  </si>
  <si>
    <t xml:space="preserve"> Materials Science and Engineering </t>
  </si>
  <si>
    <t xml:space="preserve"> Chemical Engineering Laboratory 2 </t>
  </si>
  <si>
    <t xml:space="preserve"> Differential Equations for Engineers </t>
  </si>
  <si>
    <t xml:space="preserve"> Mathematics of Heat and Mass Transfer </t>
  </si>
  <si>
    <t xml:space="preserve"> Chemical Reaction Engineering </t>
  </si>
  <si>
    <t xml:space="preserve"> Numerical Methods for Process Analysis and Design </t>
  </si>
  <si>
    <t xml:space="preserve"> Chemical Engineering Thermodynamics </t>
  </si>
  <si>
    <t xml:space="preserve"> Chemical Engineering Laboratory 3 </t>
  </si>
  <si>
    <t xml:space="preserve"> Applications of Heat and Mass Transfer </t>
  </si>
  <si>
    <t xml:space="preserve"> Electrochemical Engineering </t>
  </si>
  <si>
    <t xml:space="preserve"> Introduction to Process Control </t>
  </si>
  <si>
    <t xml:space="preserve"> Bioprocess Engineering </t>
  </si>
  <si>
    <t xml:space="preserve"> Chemical Engineering Design Workshop </t>
  </si>
  <si>
    <t xml:space="preserve"> Technical WorkTerm Report </t>
  </si>
  <si>
    <t xml:space="preserve"> Process Analysis and Design </t>
  </si>
  <si>
    <t xml:space="preserve"> Chemical Engineering Laboratory 4 </t>
  </si>
  <si>
    <t xml:space="preserve"> Chemical Engineering Laboratory 5 </t>
  </si>
  <si>
    <t xml:space="preserve">Elective List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</si>
</sst>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sz val="16"/>
      <color theme="1"/>
      <name val="Garamond"/>
      <family val="1"/>
    </font>
    <font>
      <u/>
      <sz val="12"/>
      <color theme="10"/>
      <name val="Aptos Narrow"/>
      <family val="2"/>
      <scheme val="minor"/>
    </font>
    <font>
      <b/>
      <sz val="20"/>
      <color theme="1"/>
      <name val="Garamond"/>
      <family val="1"/>
    </font>
    <font>
      <b/>
      <sz val="22"/>
      <color theme="1"/>
      <name val="Garamond"/>
      <family val="1"/>
    </font>
    <font>
      <b/>
      <sz val="28"/>
      <color theme="1"/>
      <name val="Garamond"/>
      <family val="1"/>
    </font>
    <font>
      <b/>
      <sz val="36"/>
      <color theme="1"/>
      <name val="Garamond"/>
      <family val="1"/>
    </font>
    <font>
      <u/>
      <sz val="20"/>
      <color theme="10"/>
      <name val="Garamond"/>
      <family val="1"/>
    </font>
    <font>
      <sz val="20"/>
      <color theme="1"/>
      <name val="Garamond"/>
      <family val="1"/>
    </font>
    <font>
      <sz val="36"/>
      <color theme="1"/>
      <name val="Garamond"/>
      <family val="1"/>
    </font>
    <font>
      <sz val="28"/>
      <color theme="1"/>
      <name val="Garamond"/>
      <family val="1"/>
    </font>
    <font>
      <b/>
      <sz val="20"/>
      <color rgb="FF000000"/>
      <name val="Garamond"/>
      <family val="1"/>
    </font>
    <font>
      <b/>
      <sz val="48"/>
      <color theme="1"/>
      <name val="Garamond"/>
      <family val="1"/>
    </font>
    <font>
      <sz val="20"/>
      <color rgb="FF000000"/>
      <name val="Garamond"/>
      <family val="1"/>
    </font>
    <font>
      <sz val="22"/>
      <color theme="1"/>
      <name val="Garamond"/>
      <family val="1"/>
    </font>
    <font>
      <b/>
      <sz val="26"/>
      <color theme="1"/>
      <name val="Garamond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7" fillId="0" borderId="0" xfId="1" applyFont="1"/>
    <xf numFmtId="0" fontId="8" fillId="0" borderId="0" xfId="0" applyFont="1"/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11" fillId="0" borderId="0" xfId="0" applyFont="1"/>
    <xf numFmtId="0" fontId="8" fillId="0" borderId="0" xfId="0" applyFont="1" applyAlignment="1">
      <alignment horizontal="left"/>
    </xf>
    <xf numFmtId="0" fontId="13" fillId="0" borderId="0" xfId="0" applyFont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16" fillId="0" borderId="0" xfId="0" applyFont="1"/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 textRotation="90"/>
    </xf>
    <xf numFmtId="0" fontId="12" fillId="0" borderId="2" xfId="0" applyFont="1" applyBorder="1" applyAlignment="1">
      <alignment horizontal="center" vertical="center" textRotation="90"/>
    </xf>
    <xf numFmtId="0" fontId="12" fillId="0" borderId="3" xfId="0" applyFont="1" applyBorder="1" applyAlignment="1">
      <alignment horizontal="center" vertical="center" textRotation="90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center" vertical="center" textRotation="90"/>
    </xf>
    <xf numFmtId="0" fontId="10" fillId="0" borderId="0" xfId="0" applyFont="1" applyAlignment="1">
      <alignment horizontal="center" vertical="center" textRotation="90"/>
    </xf>
    <xf numFmtId="0" fontId="6" fillId="0" borderId="0" xfId="0" applyFont="1" applyAlignment="1">
      <alignment horizontal="center" vertical="center" textRotation="90"/>
    </xf>
    <xf numFmtId="0" fontId="9" fillId="0" borderId="0" xfId="0" applyFont="1" applyAlignment="1">
      <alignment horizontal="center" vertical="center" textRotation="90"/>
    </xf>
    <xf numFmtId="0" fontId="1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waterloo.ca/academic-calendar/undergraduate-studies/catalog" TargetMode="External"/><Relationship Id="rId18" Type="http://schemas.openxmlformats.org/officeDocument/2006/relationships/hyperlink" Target="https://uwaterloo.ca/academic-calendar/undergraduate-studies/catalog" TargetMode="External"/><Relationship Id="rId26" Type="http://schemas.openxmlformats.org/officeDocument/2006/relationships/hyperlink" Target="https://uwaterloo.ca/academic-calendar/undergraduate-studies/catalog" TargetMode="External"/><Relationship Id="rId39" Type="http://schemas.openxmlformats.org/officeDocument/2006/relationships/hyperlink" Target="https://uwaterloo.ca/academic-calendar/undergraduate-studies/catalog" TargetMode="External"/><Relationship Id="rId21" Type="http://schemas.openxmlformats.org/officeDocument/2006/relationships/hyperlink" Target="https://uwaterloo.ca/academic-calendar/undergraduate-studies/catalog" TargetMode="External"/><Relationship Id="rId34" Type="http://schemas.openxmlformats.org/officeDocument/2006/relationships/hyperlink" Target="https://uwaterloo.ca/academic-calendar/undergraduate-studies/catalog" TargetMode="External"/><Relationship Id="rId7" Type="http://schemas.openxmlformats.org/officeDocument/2006/relationships/hyperlink" Target="https://uwaterloo.ca/academic-calendar/undergraduate-studies/catalog" TargetMode="External"/><Relationship Id="rId12" Type="http://schemas.openxmlformats.org/officeDocument/2006/relationships/hyperlink" Target="https://uwaterloo.ca/academic-calendar/undergraduate-studies/catalog" TargetMode="External"/><Relationship Id="rId17" Type="http://schemas.openxmlformats.org/officeDocument/2006/relationships/hyperlink" Target="https://uwaterloo.ca/academic-calendar/undergraduate-studies/catalog" TargetMode="External"/><Relationship Id="rId25" Type="http://schemas.openxmlformats.org/officeDocument/2006/relationships/hyperlink" Target="https://uwaterloo.ca/academic-calendar/undergraduate-studies/catalog" TargetMode="External"/><Relationship Id="rId33" Type="http://schemas.openxmlformats.org/officeDocument/2006/relationships/hyperlink" Target="https://uwaterloo.ca/academic-calendar/undergraduate-studies/catalog" TargetMode="External"/><Relationship Id="rId38" Type="http://schemas.openxmlformats.org/officeDocument/2006/relationships/hyperlink" Target="https://uwaterloo.ca/academic-calendar/undergraduate-studies/catalog" TargetMode="External"/><Relationship Id="rId2" Type="http://schemas.openxmlformats.org/officeDocument/2006/relationships/hyperlink" Target="https://uwaterloo.ca/academic-calendar/undergraduate-studies/catalog" TargetMode="External"/><Relationship Id="rId16" Type="http://schemas.openxmlformats.org/officeDocument/2006/relationships/hyperlink" Target="https://uwaterloo.ca/academic-calendar/undergraduate-studies/catalog" TargetMode="External"/><Relationship Id="rId20" Type="http://schemas.openxmlformats.org/officeDocument/2006/relationships/hyperlink" Target="https://uwaterloo.ca/academic-calendar/undergraduate-studies/catalog" TargetMode="External"/><Relationship Id="rId29" Type="http://schemas.openxmlformats.org/officeDocument/2006/relationships/hyperlink" Target="https://uwaterloo.ca/academic-calendar/undergraduate-studies/catalog" TargetMode="External"/><Relationship Id="rId1" Type="http://schemas.openxmlformats.org/officeDocument/2006/relationships/hyperlink" Target="https://uwaterloo.ca/academic-calendar/undergraduate-studies/catalog" TargetMode="External"/><Relationship Id="rId6" Type="http://schemas.openxmlformats.org/officeDocument/2006/relationships/hyperlink" Target="https://uwaterloo.ca/academic-calendar/undergraduate-studies/catalog" TargetMode="External"/><Relationship Id="rId11" Type="http://schemas.openxmlformats.org/officeDocument/2006/relationships/hyperlink" Target="https://uwaterloo.ca/academic-calendar/undergraduate-studies/catalog" TargetMode="External"/><Relationship Id="rId24" Type="http://schemas.openxmlformats.org/officeDocument/2006/relationships/hyperlink" Target="https://uwaterloo.ca/academic-calendar/undergraduate-studies/catalog" TargetMode="External"/><Relationship Id="rId32" Type="http://schemas.openxmlformats.org/officeDocument/2006/relationships/hyperlink" Target="https://uwaterloo.ca/academic-calendar/undergraduate-studies/catalog" TargetMode="External"/><Relationship Id="rId37" Type="http://schemas.openxmlformats.org/officeDocument/2006/relationships/hyperlink" Target="https://uwaterloo.ca/academic-calendar/undergraduate-studies/catalog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uwaterloo.ca/academic-calendar/undergraduate-studies/catalog" TargetMode="External"/><Relationship Id="rId15" Type="http://schemas.openxmlformats.org/officeDocument/2006/relationships/hyperlink" Target="https://uwaterloo.ca/academic-calendar/undergraduate-studies/catalog" TargetMode="External"/><Relationship Id="rId23" Type="http://schemas.openxmlformats.org/officeDocument/2006/relationships/hyperlink" Target="https://uwaterloo.ca/academic-calendar/undergraduate-studies/catalog" TargetMode="External"/><Relationship Id="rId28" Type="http://schemas.openxmlformats.org/officeDocument/2006/relationships/hyperlink" Target="https://uwaterloo.ca/academic-calendar/undergraduate-studies/catalog" TargetMode="External"/><Relationship Id="rId36" Type="http://schemas.openxmlformats.org/officeDocument/2006/relationships/hyperlink" Target="https://uwaterloo.ca/academic-calendar/undergraduate-studies/catalog" TargetMode="External"/><Relationship Id="rId10" Type="http://schemas.openxmlformats.org/officeDocument/2006/relationships/hyperlink" Target="https://uwaterloo.ca/academic-calendar/undergraduate-studies/catalog" TargetMode="External"/><Relationship Id="rId19" Type="http://schemas.openxmlformats.org/officeDocument/2006/relationships/hyperlink" Target="https://uwaterloo.ca/academic-calendar/undergraduate-studies/catalog" TargetMode="External"/><Relationship Id="rId31" Type="http://schemas.openxmlformats.org/officeDocument/2006/relationships/hyperlink" Target="https://uwaterloo.ca/academic-calendar/undergraduate-studies/catalog" TargetMode="External"/><Relationship Id="rId4" Type="http://schemas.openxmlformats.org/officeDocument/2006/relationships/hyperlink" Target="https://uwaterloo.ca/academic-calendar/undergraduate-studies/catalog" TargetMode="External"/><Relationship Id="rId9" Type="http://schemas.openxmlformats.org/officeDocument/2006/relationships/hyperlink" Target="https://uwaterloo.ca/academic-calendar/undergraduate-studies/catalog" TargetMode="External"/><Relationship Id="rId14" Type="http://schemas.openxmlformats.org/officeDocument/2006/relationships/hyperlink" Target="https://uwaterloo.ca/academic-calendar/undergraduate-studies/catalog" TargetMode="External"/><Relationship Id="rId22" Type="http://schemas.openxmlformats.org/officeDocument/2006/relationships/hyperlink" Target="https://uwaterloo.ca/academic-calendar/undergraduate-studies/catalog" TargetMode="External"/><Relationship Id="rId27" Type="http://schemas.openxmlformats.org/officeDocument/2006/relationships/hyperlink" Target="https://uwaterloo.ca/academic-calendar/undergraduate-studies/catalog" TargetMode="External"/><Relationship Id="rId30" Type="http://schemas.openxmlformats.org/officeDocument/2006/relationships/hyperlink" Target="https://uwaterloo.ca/academic-calendar/undergraduate-studies/catalog" TargetMode="External"/><Relationship Id="rId35" Type="http://schemas.openxmlformats.org/officeDocument/2006/relationships/hyperlink" Target="https://uwaterloo.ca/academic-calendar/undergraduate-studies/catalog" TargetMode="External"/><Relationship Id="rId8" Type="http://schemas.openxmlformats.org/officeDocument/2006/relationships/hyperlink" Target="https://uwaterloo.ca/academic-calendar/undergraduate-studies/catalog" TargetMode="External"/><Relationship Id="rId3" Type="http://schemas.openxmlformats.org/officeDocument/2006/relationships/hyperlink" Target="https://uwaterloo.ca/academic-calendar/undergraduate-studies/catalog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uwaterloo.ca/academic-calendar/undergraduate-studies/catalog" TargetMode="External"/><Relationship Id="rId299" Type="http://schemas.openxmlformats.org/officeDocument/2006/relationships/hyperlink" Target="https://uwaterloo.ca/academic-calendar/undergraduate-studies/catalog" TargetMode="External"/><Relationship Id="rId21" Type="http://schemas.openxmlformats.org/officeDocument/2006/relationships/hyperlink" Target="https://uwaterloo.ca/academic-calendar/undergraduate-studies/catalog" TargetMode="External"/><Relationship Id="rId63" Type="http://schemas.openxmlformats.org/officeDocument/2006/relationships/hyperlink" Target="https://uwaterloo.ca/academic-calendar/undergraduate-studies/catalog" TargetMode="External"/><Relationship Id="rId159" Type="http://schemas.openxmlformats.org/officeDocument/2006/relationships/hyperlink" Target="https://uwaterloo.ca/academic-calendar/undergraduate-studies/catalog" TargetMode="External"/><Relationship Id="rId324" Type="http://schemas.openxmlformats.org/officeDocument/2006/relationships/hyperlink" Target="https://uwaterloo.ca/academic-calendar/undergraduate-studies/catalog" TargetMode="External"/><Relationship Id="rId170" Type="http://schemas.openxmlformats.org/officeDocument/2006/relationships/hyperlink" Target="https://uwaterloo.ca/academic-calendar/undergraduate-studies/catalog" TargetMode="External"/><Relationship Id="rId226" Type="http://schemas.openxmlformats.org/officeDocument/2006/relationships/hyperlink" Target="https://uwaterloo.ca/academic-calendar/undergraduate-studies/catalog" TargetMode="External"/><Relationship Id="rId268" Type="http://schemas.openxmlformats.org/officeDocument/2006/relationships/hyperlink" Target="https://uwaterloo.ca/academic-calendar/undergraduate-studies/catalog" TargetMode="External"/><Relationship Id="rId32" Type="http://schemas.openxmlformats.org/officeDocument/2006/relationships/hyperlink" Target="https://uwaterloo.ca/academic-calendar/undergraduate-studies/catalog" TargetMode="External"/><Relationship Id="rId74" Type="http://schemas.openxmlformats.org/officeDocument/2006/relationships/hyperlink" Target="https://uwaterloo.ca/academic-calendar/undergraduate-studies/catalog" TargetMode="External"/><Relationship Id="rId128" Type="http://schemas.openxmlformats.org/officeDocument/2006/relationships/hyperlink" Target="https://uwaterloo.ca/academic-calendar/undergraduate-studies/catalog" TargetMode="External"/><Relationship Id="rId335" Type="http://schemas.openxmlformats.org/officeDocument/2006/relationships/hyperlink" Target="https://uwaterloo.ca/academic-calendar/undergraduate-studies/catalog" TargetMode="External"/><Relationship Id="rId5" Type="http://schemas.openxmlformats.org/officeDocument/2006/relationships/hyperlink" Target="https://uwaterloo.ca/academic-calendar/undergraduate-studies/catalog" TargetMode="External"/><Relationship Id="rId181" Type="http://schemas.openxmlformats.org/officeDocument/2006/relationships/hyperlink" Target="https://uwaterloo.ca/academic-calendar/undergraduate-studies/catalog" TargetMode="External"/><Relationship Id="rId237" Type="http://schemas.openxmlformats.org/officeDocument/2006/relationships/hyperlink" Target="https://uwaterloo.ca/academic-calendar/undergraduate-studies/catalog" TargetMode="External"/><Relationship Id="rId279" Type="http://schemas.openxmlformats.org/officeDocument/2006/relationships/hyperlink" Target="https://uwaterloo.ca/academic-calendar/undergraduate-studies/catalog" TargetMode="External"/><Relationship Id="rId43" Type="http://schemas.openxmlformats.org/officeDocument/2006/relationships/hyperlink" Target="https://uwaterloo.ca/academic-calendar/undergraduate-studies/catalog" TargetMode="External"/><Relationship Id="rId139" Type="http://schemas.openxmlformats.org/officeDocument/2006/relationships/hyperlink" Target="https://uwaterloo.ca/academic-calendar/undergraduate-studies/catalog" TargetMode="External"/><Relationship Id="rId290" Type="http://schemas.openxmlformats.org/officeDocument/2006/relationships/hyperlink" Target="https://uwaterloo.ca/academic-calendar/undergraduate-studies/catalog" TargetMode="External"/><Relationship Id="rId304" Type="http://schemas.openxmlformats.org/officeDocument/2006/relationships/hyperlink" Target="https://uwaterloo.ca/academic-calendar/undergraduate-studies/catalog" TargetMode="External"/><Relationship Id="rId346" Type="http://schemas.openxmlformats.org/officeDocument/2006/relationships/hyperlink" Target="https://uwaterloo.ca/academic-calendar/undergraduate-studies/catalog" TargetMode="External"/><Relationship Id="rId85" Type="http://schemas.openxmlformats.org/officeDocument/2006/relationships/hyperlink" Target="https://uwaterloo.ca/academic-calendar/undergraduate-studies/catalog" TargetMode="External"/><Relationship Id="rId150" Type="http://schemas.openxmlformats.org/officeDocument/2006/relationships/hyperlink" Target="https://uwaterloo.ca/academic-calendar/undergraduate-studies/catalog" TargetMode="External"/><Relationship Id="rId192" Type="http://schemas.openxmlformats.org/officeDocument/2006/relationships/hyperlink" Target="https://uwaterloo.ca/academic-calendar/undergraduate-studies/catalog" TargetMode="External"/><Relationship Id="rId206" Type="http://schemas.openxmlformats.org/officeDocument/2006/relationships/hyperlink" Target="https://uwaterloo.ca/academic-calendar/undergraduate-studies/catalog" TargetMode="External"/><Relationship Id="rId248" Type="http://schemas.openxmlformats.org/officeDocument/2006/relationships/hyperlink" Target="https://uwaterloo.ca/academic-calendar/undergraduate-studies/catalog" TargetMode="External"/><Relationship Id="rId12" Type="http://schemas.openxmlformats.org/officeDocument/2006/relationships/hyperlink" Target="https://uwaterloo.ca/academic-calendar/undergraduate-studies/catalog" TargetMode="External"/><Relationship Id="rId108" Type="http://schemas.openxmlformats.org/officeDocument/2006/relationships/hyperlink" Target="https://uwaterloo.ca/academic-calendar/undergraduate-studies/catalog" TargetMode="External"/><Relationship Id="rId315" Type="http://schemas.openxmlformats.org/officeDocument/2006/relationships/hyperlink" Target="https://uwaterloo.ca/academic-calendar/undergraduate-studies/catalog" TargetMode="External"/><Relationship Id="rId54" Type="http://schemas.openxmlformats.org/officeDocument/2006/relationships/hyperlink" Target="https://uwaterloo.ca/academic-calendar/undergraduate-studies/catalog" TargetMode="External"/><Relationship Id="rId96" Type="http://schemas.openxmlformats.org/officeDocument/2006/relationships/hyperlink" Target="https://uwaterloo.ca/academic-calendar/undergraduate-studies/catalog" TargetMode="External"/><Relationship Id="rId161" Type="http://schemas.openxmlformats.org/officeDocument/2006/relationships/hyperlink" Target="https://uwaterloo.ca/academic-calendar/undergraduate-studies/catalog" TargetMode="External"/><Relationship Id="rId217" Type="http://schemas.openxmlformats.org/officeDocument/2006/relationships/hyperlink" Target="https://uwaterloo.ca/academic-calendar/undergraduate-studies/catalog" TargetMode="External"/><Relationship Id="rId259" Type="http://schemas.openxmlformats.org/officeDocument/2006/relationships/hyperlink" Target="https://uwaterloo.ca/academic-calendar/undergraduate-studies/catalog" TargetMode="External"/><Relationship Id="rId23" Type="http://schemas.openxmlformats.org/officeDocument/2006/relationships/hyperlink" Target="https://uwaterloo.ca/academic-calendar/undergraduate-studies/catalog" TargetMode="External"/><Relationship Id="rId119" Type="http://schemas.openxmlformats.org/officeDocument/2006/relationships/hyperlink" Target="https://uwaterloo.ca/academic-calendar/undergraduate-studies/catalog" TargetMode="External"/><Relationship Id="rId270" Type="http://schemas.openxmlformats.org/officeDocument/2006/relationships/hyperlink" Target="https://uwaterloo.ca/academic-calendar/undergraduate-studies/catalog" TargetMode="External"/><Relationship Id="rId326" Type="http://schemas.openxmlformats.org/officeDocument/2006/relationships/hyperlink" Target="https://uwaterloo.ca/academic-calendar/undergraduate-studies/catalog" TargetMode="External"/><Relationship Id="rId65" Type="http://schemas.openxmlformats.org/officeDocument/2006/relationships/hyperlink" Target="https://uwaterloo.ca/academic-calendar/undergraduate-studies/catalog" TargetMode="External"/><Relationship Id="rId130" Type="http://schemas.openxmlformats.org/officeDocument/2006/relationships/hyperlink" Target="https://uwaterloo.ca/academic-calendar/undergraduate-studies/catalog" TargetMode="External"/><Relationship Id="rId172" Type="http://schemas.openxmlformats.org/officeDocument/2006/relationships/hyperlink" Target="https://uwaterloo.ca/academic-calendar/undergraduate-studies/catalog" TargetMode="External"/><Relationship Id="rId228" Type="http://schemas.openxmlformats.org/officeDocument/2006/relationships/hyperlink" Target="https://uwaterloo.ca/academic-calendar/undergraduate-studies/catalog" TargetMode="External"/><Relationship Id="rId281" Type="http://schemas.openxmlformats.org/officeDocument/2006/relationships/hyperlink" Target="https://uwaterloo.ca/academic-calendar/undergraduate-studies/catalog" TargetMode="External"/><Relationship Id="rId337" Type="http://schemas.openxmlformats.org/officeDocument/2006/relationships/hyperlink" Target="https://uwaterloo.ca/academic-calendar/undergraduate-studies/catalog" TargetMode="External"/><Relationship Id="rId34" Type="http://schemas.openxmlformats.org/officeDocument/2006/relationships/hyperlink" Target="https://uwaterloo.ca/academic-calendar/undergraduate-studies/catalog" TargetMode="External"/><Relationship Id="rId76" Type="http://schemas.openxmlformats.org/officeDocument/2006/relationships/hyperlink" Target="https://uwaterloo.ca/academic-calendar/undergraduate-studies/catalog" TargetMode="External"/><Relationship Id="rId141" Type="http://schemas.openxmlformats.org/officeDocument/2006/relationships/hyperlink" Target="https://uwaterloo.ca/academic-calendar/undergraduate-studies/catalog" TargetMode="External"/><Relationship Id="rId7" Type="http://schemas.openxmlformats.org/officeDocument/2006/relationships/hyperlink" Target="https://uwaterloo.ca/academic-calendar/undergraduate-studies/catalog" TargetMode="External"/><Relationship Id="rId183" Type="http://schemas.openxmlformats.org/officeDocument/2006/relationships/hyperlink" Target="https://uwaterloo.ca/academic-calendar/undergraduate-studies/catalog" TargetMode="External"/><Relationship Id="rId239" Type="http://schemas.openxmlformats.org/officeDocument/2006/relationships/hyperlink" Target="https://uwaterloo.ca/academic-calendar/undergraduate-studies/catalog" TargetMode="External"/><Relationship Id="rId250" Type="http://schemas.openxmlformats.org/officeDocument/2006/relationships/hyperlink" Target="https://uwaterloo.ca/academic-calendar/undergraduate-studies/catalog" TargetMode="External"/><Relationship Id="rId292" Type="http://schemas.openxmlformats.org/officeDocument/2006/relationships/hyperlink" Target="https://uwaterloo.ca/academic-calendar/undergraduate-studies/catalog" TargetMode="External"/><Relationship Id="rId306" Type="http://schemas.openxmlformats.org/officeDocument/2006/relationships/hyperlink" Target="https://uwaterloo.ca/academic-calendar/undergraduate-studies/catalog" TargetMode="External"/><Relationship Id="rId45" Type="http://schemas.openxmlformats.org/officeDocument/2006/relationships/hyperlink" Target="https://uwaterloo.ca/academic-calendar/undergraduate-studies/catalog" TargetMode="External"/><Relationship Id="rId87" Type="http://schemas.openxmlformats.org/officeDocument/2006/relationships/hyperlink" Target="https://uwaterloo.ca/academic-calendar/undergraduate-studies/catalog" TargetMode="External"/><Relationship Id="rId110" Type="http://schemas.openxmlformats.org/officeDocument/2006/relationships/hyperlink" Target="https://uwaterloo.ca/academic-calendar/undergraduate-studies/catalog" TargetMode="External"/><Relationship Id="rId348" Type="http://schemas.openxmlformats.org/officeDocument/2006/relationships/hyperlink" Target="https://uwaterloo.ca/academic-calendar/undergraduate-studies/catalog" TargetMode="External"/><Relationship Id="rId152" Type="http://schemas.openxmlformats.org/officeDocument/2006/relationships/hyperlink" Target="https://uwaterloo.ca/academic-calendar/undergraduate-studies/catalog" TargetMode="External"/><Relationship Id="rId194" Type="http://schemas.openxmlformats.org/officeDocument/2006/relationships/hyperlink" Target="https://uwaterloo.ca/academic-calendar/undergraduate-studies/catalog" TargetMode="External"/><Relationship Id="rId208" Type="http://schemas.openxmlformats.org/officeDocument/2006/relationships/hyperlink" Target="https://uwaterloo.ca/academic-calendar/undergraduate-studies/catalog" TargetMode="External"/><Relationship Id="rId261" Type="http://schemas.openxmlformats.org/officeDocument/2006/relationships/hyperlink" Target="https://uwaterloo.ca/academic-calendar/undergraduate-studies/catalog" TargetMode="External"/><Relationship Id="rId14" Type="http://schemas.openxmlformats.org/officeDocument/2006/relationships/hyperlink" Target="https://uwaterloo.ca/academic-calendar/undergraduate-studies/catalog" TargetMode="External"/><Relationship Id="rId56" Type="http://schemas.openxmlformats.org/officeDocument/2006/relationships/hyperlink" Target="https://uwaterloo.ca/academic-calendar/undergraduate-studies/catalog" TargetMode="External"/><Relationship Id="rId317" Type="http://schemas.openxmlformats.org/officeDocument/2006/relationships/hyperlink" Target="https://uwaterloo.ca/academic-calendar/undergraduate-studies/catalog" TargetMode="External"/><Relationship Id="rId8" Type="http://schemas.openxmlformats.org/officeDocument/2006/relationships/hyperlink" Target="https://uwaterloo.ca/academic-calendar/undergraduate-studies/catalog" TargetMode="External"/><Relationship Id="rId98" Type="http://schemas.openxmlformats.org/officeDocument/2006/relationships/hyperlink" Target="https://uwaterloo.ca/academic-calendar/undergraduate-studies/catalog" TargetMode="External"/><Relationship Id="rId121" Type="http://schemas.openxmlformats.org/officeDocument/2006/relationships/hyperlink" Target="https://uwaterloo.ca/academic-calendar/undergraduate-studies/catalog" TargetMode="External"/><Relationship Id="rId142" Type="http://schemas.openxmlformats.org/officeDocument/2006/relationships/hyperlink" Target="https://uwaterloo.ca/academic-calendar/undergraduate-studies/catalog" TargetMode="External"/><Relationship Id="rId163" Type="http://schemas.openxmlformats.org/officeDocument/2006/relationships/hyperlink" Target="https://uwaterloo.ca/academic-calendar/undergraduate-studies/catalog" TargetMode="External"/><Relationship Id="rId184" Type="http://schemas.openxmlformats.org/officeDocument/2006/relationships/hyperlink" Target="https://uwaterloo.ca/academic-calendar/undergraduate-studies/catalog" TargetMode="External"/><Relationship Id="rId219" Type="http://schemas.openxmlformats.org/officeDocument/2006/relationships/hyperlink" Target="https://uwaterloo.ca/academic-calendar/undergraduate-studies/catalog" TargetMode="External"/><Relationship Id="rId230" Type="http://schemas.openxmlformats.org/officeDocument/2006/relationships/hyperlink" Target="https://uwaterloo.ca/academic-calendar/undergraduate-studies/catalog" TargetMode="External"/><Relationship Id="rId251" Type="http://schemas.openxmlformats.org/officeDocument/2006/relationships/hyperlink" Target="https://uwaterloo.ca/academic-calendar/undergraduate-studies/catalog" TargetMode="External"/><Relationship Id="rId25" Type="http://schemas.openxmlformats.org/officeDocument/2006/relationships/hyperlink" Target="https://uwaterloo.ca/academic-calendar/undergraduate-studies/catalog" TargetMode="External"/><Relationship Id="rId46" Type="http://schemas.openxmlformats.org/officeDocument/2006/relationships/hyperlink" Target="https://uwaterloo.ca/academic-calendar/undergraduate-studies/catalog" TargetMode="External"/><Relationship Id="rId67" Type="http://schemas.openxmlformats.org/officeDocument/2006/relationships/hyperlink" Target="https://uwaterloo.ca/academic-calendar/undergraduate-studies/catalog" TargetMode="External"/><Relationship Id="rId272" Type="http://schemas.openxmlformats.org/officeDocument/2006/relationships/hyperlink" Target="https://uwaterloo.ca/academic-calendar/undergraduate-studies/catalog" TargetMode="External"/><Relationship Id="rId293" Type="http://schemas.openxmlformats.org/officeDocument/2006/relationships/hyperlink" Target="https://uwaterloo.ca/academic-calendar/undergraduate-studies/catalog" TargetMode="External"/><Relationship Id="rId307" Type="http://schemas.openxmlformats.org/officeDocument/2006/relationships/hyperlink" Target="https://uwaterloo.ca/academic-calendar/undergraduate-studies/catalog" TargetMode="External"/><Relationship Id="rId328" Type="http://schemas.openxmlformats.org/officeDocument/2006/relationships/hyperlink" Target="https://uwaterloo.ca/academic-calendar/undergraduate-studies/catalog" TargetMode="External"/><Relationship Id="rId349" Type="http://schemas.openxmlformats.org/officeDocument/2006/relationships/hyperlink" Target="https://uwaterloo.ca/academic-calendar/undergraduate-studies/catalog" TargetMode="External"/><Relationship Id="rId88" Type="http://schemas.openxmlformats.org/officeDocument/2006/relationships/hyperlink" Target="https://uwaterloo.ca/academic-calendar/undergraduate-studies/catalog" TargetMode="External"/><Relationship Id="rId111" Type="http://schemas.openxmlformats.org/officeDocument/2006/relationships/hyperlink" Target="https://uwaterloo.ca/academic-calendar/undergraduate-studies/catalog" TargetMode="External"/><Relationship Id="rId132" Type="http://schemas.openxmlformats.org/officeDocument/2006/relationships/hyperlink" Target="https://uwaterloo.ca/academic-calendar/undergraduate-studies/catalog" TargetMode="External"/><Relationship Id="rId153" Type="http://schemas.openxmlformats.org/officeDocument/2006/relationships/hyperlink" Target="https://uwaterloo.ca/academic-calendar/undergraduate-studies/catalog" TargetMode="External"/><Relationship Id="rId174" Type="http://schemas.openxmlformats.org/officeDocument/2006/relationships/hyperlink" Target="https://uwaterloo.ca/academic-calendar/undergraduate-studies/catalog" TargetMode="External"/><Relationship Id="rId195" Type="http://schemas.openxmlformats.org/officeDocument/2006/relationships/hyperlink" Target="https://uwaterloo.ca/academic-calendar/undergraduate-studies/catalog" TargetMode="External"/><Relationship Id="rId209" Type="http://schemas.openxmlformats.org/officeDocument/2006/relationships/hyperlink" Target="https://uwaterloo.ca/academic-calendar/undergraduate-studies/catalog" TargetMode="External"/><Relationship Id="rId220" Type="http://schemas.openxmlformats.org/officeDocument/2006/relationships/hyperlink" Target="https://uwaterloo.ca/academic-calendar/undergraduate-studies/catalog" TargetMode="External"/><Relationship Id="rId241" Type="http://schemas.openxmlformats.org/officeDocument/2006/relationships/hyperlink" Target="https://uwaterloo.ca/academic-calendar/undergraduate-studies/catalog" TargetMode="External"/><Relationship Id="rId15" Type="http://schemas.openxmlformats.org/officeDocument/2006/relationships/hyperlink" Target="https://uwaterloo.ca/academic-calendar/undergraduate-studies/catalog" TargetMode="External"/><Relationship Id="rId36" Type="http://schemas.openxmlformats.org/officeDocument/2006/relationships/hyperlink" Target="https://uwaterloo.ca/academic-calendar/undergraduate-studies/catalog" TargetMode="External"/><Relationship Id="rId57" Type="http://schemas.openxmlformats.org/officeDocument/2006/relationships/hyperlink" Target="https://uwaterloo.ca/academic-calendar/undergraduate-studies/catalog" TargetMode="External"/><Relationship Id="rId262" Type="http://schemas.openxmlformats.org/officeDocument/2006/relationships/hyperlink" Target="https://uwaterloo.ca/academic-calendar/undergraduate-studies/catalog" TargetMode="External"/><Relationship Id="rId283" Type="http://schemas.openxmlformats.org/officeDocument/2006/relationships/hyperlink" Target="https://uwaterloo.ca/academic-calendar/undergraduate-studies/catalog" TargetMode="External"/><Relationship Id="rId318" Type="http://schemas.openxmlformats.org/officeDocument/2006/relationships/hyperlink" Target="https://uwaterloo.ca/academic-calendar/undergraduate-studies/catalog" TargetMode="External"/><Relationship Id="rId339" Type="http://schemas.openxmlformats.org/officeDocument/2006/relationships/hyperlink" Target="https://uwaterloo.ca/academic-calendar/undergraduate-studies/catalog" TargetMode="External"/><Relationship Id="rId78" Type="http://schemas.openxmlformats.org/officeDocument/2006/relationships/hyperlink" Target="https://uwaterloo.ca/academic-calendar/undergraduate-studies/catalog" TargetMode="External"/><Relationship Id="rId99" Type="http://schemas.openxmlformats.org/officeDocument/2006/relationships/hyperlink" Target="https://uwaterloo.ca/academic-calendar/undergraduate-studies/catalog" TargetMode="External"/><Relationship Id="rId101" Type="http://schemas.openxmlformats.org/officeDocument/2006/relationships/hyperlink" Target="https://uwaterloo.ca/academic-calendar/undergraduate-studies/catalog" TargetMode="External"/><Relationship Id="rId122" Type="http://schemas.openxmlformats.org/officeDocument/2006/relationships/hyperlink" Target="https://uwaterloo.ca/academic-calendar/undergraduate-studies/catalog" TargetMode="External"/><Relationship Id="rId143" Type="http://schemas.openxmlformats.org/officeDocument/2006/relationships/hyperlink" Target="https://uwaterloo.ca/academic-calendar/undergraduate-studies/catalog" TargetMode="External"/><Relationship Id="rId164" Type="http://schemas.openxmlformats.org/officeDocument/2006/relationships/hyperlink" Target="https://uwaterloo.ca/academic-calendar/undergraduate-studies/catalog" TargetMode="External"/><Relationship Id="rId185" Type="http://schemas.openxmlformats.org/officeDocument/2006/relationships/hyperlink" Target="https://uwaterloo.ca/academic-calendar/undergraduate-studies/catalog" TargetMode="External"/><Relationship Id="rId350" Type="http://schemas.openxmlformats.org/officeDocument/2006/relationships/hyperlink" Target="https://uwaterloo.ca/academic-calendar/undergraduate-studies/catalog" TargetMode="External"/><Relationship Id="rId9" Type="http://schemas.openxmlformats.org/officeDocument/2006/relationships/hyperlink" Target="https://uwaterloo.ca/academic-calendar/undergraduate-studies/catalog" TargetMode="External"/><Relationship Id="rId210" Type="http://schemas.openxmlformats.org/officeDocument/2006/relationships/hyperlink" Target="https://uwaterloo.ca/academic-calendar/undergraduate-studies/catalog" TargetMode="External"/><Relationship Id="rId26" Type="http://schemas.openxmlformats.org/officeDocument/2006/relationships/hyperlink" Target="https://uwaterloo.ca/academic-calendar/undergraduate-studies/catalog" TargetMode="External"/><Relationship Id="rId231" Type="http://schemas.openxmlformats.org/officeDocument/2006/relationships/hyperlink" Target="https://uwaterloo.ca/academic-calendar/undergraduate-studies/catalog" TargetMode="External"/><Relationship Id="rId252" Type="http://schemas.openxmlformats.org/officeDocument/2006/relationships/hyperlink" Target="https://uwaterloo.ca/academic-calendar/undergraduate-studies/catalog" TargetMode="External"/><Relationship Id="rId273" Type="http://schemas.openxmlformats.org/officeDocument/2006/relationships/hyperlink" Target="https://uwaterloo.ca/academic-calendar/undergraduate-studies/catalog" TargetMode="External"/><Relationship Id="rId294" Type="http://schemas.openxmlformats.org/officeDocument/2006/relationships/hyperlink" Target="https://uwaterloo.ca/academic-calendar/undergraduate-studies/catalog" TargetMode="External"/><Relationship Id="rId308" Type="http://schemas.openxmlformats.org/officeDocument/2006/relationships/hyperlink" Target="https://uwaterloo.ca/academic-calendar/undergraduate-studies/catalog" TargetMode="External"/><Relationship Id="rId329" Type="http://schemas.openxmlformats.org/officeDocument/2006/relationships/hyperlink" Target="https://uwaterloo.ca/academic-calendar/undergraduate-studies/catalog" TargetMode="External"/><Relationship Id="rId47" Type="http://schemas.openxmlformats.org/officeDocument/2006/relationships/hyperlink" Target="https://uwaterloo.ca/academic-calendar/undergraduate-studies/catalog" TargetMode="External"/><Relationship Id="rId68" Type="http://schemas.openxmlformats.org/officeDocument/2006/relationships/hyperlink" Target="https://uwaterloo.ca/academic-calendar/undergraduate-studies/catalog" TargetMode="External"/><Relationship Id="rId89" Type="http://schemas.openxmlformats.org/officeDocument/2006/relationships/hyperlink" Target="https://uwaterloo.ca/academic-calendar/undergraduate-studies/catalog" TargetMode="External"/><Relationship Id="rId112" Type="http://schemas.openxmlformats.org/officeDocument/2006/relationships/hyperlink" Target="https://uwaterloo.ca/academic-calendar/undergraduate-studies/catalog" TargetMode="External"/><Relationship Id="rId133" Type="http://schemas.openxmlformats.org/officeDocument/2006/relationships/hyperlink" Target="https://uwaterloo.ca/academic-calendar/undergraduate-studies/catalog" TargetMode="External"/><Relationship Id="rId154" Type="http://schemas.openxmlformats.org/officeDocument/2006/relationships/hyperlink" Target="https://uwaterloo.ca/academic-calendar/undergraduate-studies/catalog" TargetMode="External"/><Relationship Id="rId175" Type="http://schemas.openxmlformats.org/officeDocument/2006/relationships/hyperlink" Target="https://uwaterloo.ca/academic-calendar/undergraduate-studies/catalog" TargetMode="External"/><Relationship Id="rId340" Type="http://schemas.openxmlformats.org/officeDocument/2006/relationships/hyperlink" Target="https://uwaterloo.ca/academic-calendar/undergraduate-studies/catalog" TargetMode="External"/><Relationship Id="rId196" Type="http://schemas.openxmlformats.org/officeDocument/2006/relationships/hyperlink" Target="https://uwaterloo.ca/academic-calendar/undergraduate-studies/catalog" TargetMode="External"/><Relationship Id="rId200" Type="http://schemas.openxmlformats.org/officeDocument/2006/relationships/hyperlink" Target="https://uwaterloo.ca/academic-calendar/undergraduate-studies/catalog" TargetMode="External"/><Relationship Id="rId16" Type="http://schemas.openxmlformats.org/officeDocument/2006/relationships/hyperlink" Target="https://uwaterloo.ca/academic-calendar/undergraduate-studies/catalog" TargetMode="External"/><Relationship Id="rId221" Type="http://schemas.openxmlformats.org/officeDocument/2006/relationships/hyperlink" Target="https://uwaterloo.ca/academic-calendar/undergraduate-studies/catalog" TargetMode="External"/><Relationship Id="rId242" Type="http://schemas.openxmlformats.org/officeDocument/2006/relationships/hyperlink" Target="https://uwaterloo.ca/academic-calendar/undergraduate-studies/catalog" TargetMode="External"/><Relationship Id="rId263" Type="http://schemas.openxmlformats.org/officeDocument/2006/relationships/hyperlink" Target="https://uwaterloo.ca/academic-calendar/undergraduate-studies/catalog" TargetMode="External"/><Relationship Id="rId284" Type="http://schemas.openxmlformats.org/officeDocument/2006/relationships/hyperlink" Target="https://uwaterloo.ca/academic-calendar/undergraduate-studies/catalog" TargetMode="External"/><Relationship Id="rId319" Type="http://schemas.openxmlformats.org/officeDocument/2006/relationships/hyperlink" Target="https://uwaterloo.ca/academic-calendar/undergraduate-studies/catalog" TargetMode="External"/><Relationship Id="rId37" Type="http://schemas.openxmlformats.org/officeDocument/2006/relationships/hyperlink" Target="https://uwaterloo.ca/academic-calendar/undergraduate-studies/catalog" TargetMode="External"/><Relationship Id="rId58" Type="http://schemas.openxmlformats.org/officeDocument/2006/relationships/hyperlink" Target="https://uwaterloo.ca/academic-calendar/undergraduate-studies/catalog" TargetMode="External"/><Relationship Id="rId79" Type="http://schemas.openxmlformats.org/officeDocument/2006/relationships/hyperlink" Target="https://uwaterloo.ca/academic-calendar/undergraduate-studies/catalog" TargetMode="External"/><Relationship Id="rId102" Type="http://schemas.openxmlformats.org/officeDocument/2006/relationships/hyperlink" Target="https://uwaterloo.ca/academic-calendar/undergraduate-studies/catalog" TargetMode="External"/><Relationship Id="rId123" Type="http://schemas.openxmlformats.org/officeDocument/2006/relationships/hyperlink" Target="https://uwaterloo.ca/academic-calendar/undergraduate-studies/catalog" TargetMode="External"/><Relationship Id="rId144" Type="http://schemas.openxmlformats.org/officeDocument/2006/relationships/hyperlink" Target="https://uwaterloo.ca/academic-calendar/undergraduate-studies/catalog" TargetMode="External"/><Relationship Id="rId330" Type="http://schemas.openxmlformats.org/officeDocument/2006/relationships/hyperlink" Target="https://uwaterloo.ca/academic-calendar/undergraduate-studies/catalog" TargetMode="External"/><Relationship Id="rId90" Type="http://schemas.openxmlformats.org/officeDocument/2006/relationships/hyperlink" Target="https://uwaterloo.ca/academic-calendar/undergraduate-studies/catalog" TargetMode="External"/><Relationship Id="rId165" Type="http://schemas.openxmlformats.org/officeDocument/2006/relationships/hyperlink" Target="https://uwaterloo.ca/academic-calendar/undergraduate-studies/catalog" TargetMode="External"/><Relationship Id="rId186" Type="http://schemas.openxmlformats.org/officeDocument/2006/relationships/hyperlink" Target="https://uwaterloo.ca/academic-calendar/undergraduate-studies/catalog" TargetMode="External"/><Relationship Id="rId351" Type="http://schemas.openxmlformats.org/officeDocument/2006/relationships/hyperlink" Target="https://uwaterloo.ca/academic-calendar/undergraduate-studies/catalog" TargetMode="External"/><Relationship Id="rId211" Type="http://schemas.openxmlformats.org/officeDocument/2006/relationships/hyperlink" Target="https://uwaterloo.ca/academic-calendar/undergraduate-studies/catalog" TargetMode="External"/><Relationship Id="rId232" Type="http://schemas.openxmlformats.org/officeDocument/2006/relationships/hyperlink" Target="https://uwaterloo.ca/academic-calendar/undergraduate-studies/catalog" TargetMode="External"/><Relationship Id="rId253" Type="http://schemas.openxmlformats.org/officeDocument/2006/relationships/hyperlink" Target="https://uwaterloo.ca/academic-calendar/undergraduate-studies/catalog" TargetMode="External"/><Relationship Id="rId274" Type="http://schemas.openxmlformats.org/officeDocument/2006/relationships/hyperlink" Target="https://uwaterloo.ca/academic-calendar/undergraduate-studies/catalog" TargetMode="External"/><Relationship Id="rId295" Type="http://schemas.openxmlformats.org/officeDocument/2006/relationships/hyperlink" Target="https://uwaterloo.ca/academic-calendar/undergraduate-studies/catalog" TargetMode="External"/><Relationship Id="rId309" Type="http://schemas.openxmlformats.org/officeDocument/2006/relationships/hyperlink" Target="https://uwaterloo.ca/academic-calendar/undergraduate-studies/catalog" TargetMode="External"/><Relationship Id="rId27" Type="http://schemas.openxmlformats.org/officeDocument/2006/relationships/hyperlink" Target="https://uwaterloo.ca/academic-calendar/undergraduate-studies/catalog" TargetMode="External"/><Relationship Id="rId48" Type="http://schemas.openxmlformats.org/officeDocument/2006/relationships/hyperlink" Target="https://uwaterloo.ca/academic-calendar/undergraduate-studies/catalog" TargetMode="External"/><Relationship Id="rId69" Type="http://schemas.openxmlformats.org/officeDocument/2006/relationships/hyperlink" Target="https://uwaterloo.ca/academic-calendar/undergraduate-studies/catalog" TargetMode="External"/><Relationship Id="rId113" Type="http://schemas.openxmlformats.org/officeDocument/2006/relationships/hyperlink" Target="https://uwaterloo.ca/academic-calendar/undergraduate-studies/catalog" TargetMode="External"/><Relationship Id="rId134" Type="http://schemas.openxmlformats.org/officeDocument/2006/relationships/hyperlink" Target="https://uwaterloo.ca/academic-calendar/undergraduate-studies/catalog" TargetMode="External"/><Relationship Id="rId320" Type="http://schemas.openxmlformats.org/officeDocument/2006/relationships/hyperlink" Target="https://uwaterloo.ca/academic-calendar/undergraduate-studies/catalog" TargetMode="External"/><Relationship Id="rId80" Type="http://schemas.openxmlformats.org/officeDocument/2006/relationships/hyperlink" Target="https://uwaterloo.ca/academic-calendar/undergraduate-studies/catalog" TargetMode="External"/><Relationship Id="rId155" Type="http://schemas.openxmlformats.org/officeDocument/2006/relationships/hyperlink" Target="https://uwaterloo.ca/academic-calendar/undergraduate-studies/catalog" TargetMode="External"/><Relationship Id="rId176" Type="http://schemas.openxmlformats.org/officeDocument/2006/relationships/hyperlink" Target="https://uwaterloo.ca/academic-calendar/undergraduate-studies/catalog" TargetMode="External"/><Relationship Id="rId197" Type="http://schemas.openxmlformats.org/officeDocument/2006/relationships/hyperlink" Target="https://uwaterloo.ca/academic-calendar/undergraduate-studies/catalog" TargetMode="External"/><Relationship Id="rId341" Type="http://schemas.openxmlformats.org/officeDocument/2006/relationships/hyperlink" Target="https://uwaterloo.ca/academic-calendar/undergraduate-studies/catalog" TargetMode="External"/><Relationship Id="rId201" Type="http://schemas.openxmlformats.org/officeDocument/2006/relationships/hyperlink" Target="https://uwaterloo.ca/academic-calendar/undergraduate-studies/catalog" TargetMode="External"/><Relationship Id="rId222" Type="http://schemas.openxmlformats.org/officeDocument/2006/relationships/hyperlink" Target="https://uwaterloo.ca/academic-calendar/undergraduate-studies/catalog" TargetMode="External"/><Relationship Id="rId243" Type="http://schemas.openxmlformats.org/officeDocument/2006/relationships/hyperlink" Target="https://uwaterloo.ca/academic-calendar/undergraduate-studies/catalog" TargetMode="External"/><Relationship Id="rId264" Type="http://schemas.openxmlformats.org/officeDocument/2006/relationships/hyperlink" Target="https://uwaterloo.ca/academic-calendar/undergraduate-studies/catalog" TargetMode="External"/><Relationship Id="rId285" Type="http://schemas.openxmlformats.org/officeDocument/2006/relationships/hyperlink" Target="https://uwaterloo.ca/academic-calendar/undergraduate-studies/catalog" TargetMode="External"/><Relationship Id="rId17" Type="http://schemas.openxmlformats.org/officeDocument/2006/relationships/hyperlink" Target="https://uwaterloo.ca/academic-calendar/undergraduate-studies/catalog" TargetMode="External"/><Relationship Id="rId38" Type="http://schemas.openxmlformats.org/officeDocument/2006/relationships/hyperlink" Target="https://uwaterloo.ca/academic-calendar/undergraduate-studies/catalog" TargetMode="External"/><Relationship Id="rId59" Type="http://schemas.openxmlformats.org/officeDocument/2006/relationships/hyperlink" Target="https://uwaterloo.ca/academic-calendar/undergraduate-studies/catalog" TargetMode="External"/><Relationship Id="rId103" Type="http://schemas.openxmlformats.org/officeDocument/2006/relationships/hyperlink" Target="https://uwaterloo.ca/academic-calendar/undergraduate-studies/catalog" TargetMode="External"/><Relationship Id="rId124" Type="http://schemas.openxmlformats.org/officeDocument/2006/relationships/hyperlink" Target="https://uwaterloo.ca/academic-calendar/undergraduate-studies/catalog" TargetMode="External"/><Relationship Id="rId310" Type="http://schemas.openxmlformats.org/officeDocument/2006/relationships/hyperlink" Target="https://uwaterloo.ca/academic-calendar/undergraduate-studies/catalog" TargetMode="External"/><Relationship Id="rId70" Type="http://schemas.openxmlformats.org/officeDocument/2006/relationships/hyperlink" Target="https://uwaterloo.ca/academic-calendar/undergraduate-studies/catalog" TargetMode="External"/><Relationship Id="rId91" Type="http://schemas.openxmlformats.org/officeDocument/2006/relationships/hyperlink" Target="https://uwaterloo.ca/academic-calendar/undergraduate-studies/catalog" TargetMode="External"/><Relationship Id="rId145" Type="http://schemas.openxmlformats.org/officeDocument/2006/relationships/hyperlink" Target="https://uwaterloo.ca/academic-calendar/undergraduate-studies/catalog" TargetMode="External"/><Relationship Id="rId166" Type="http://schemas.openxmlformats.org/officeDocument/2006/relationships/hyperlink" Target="https://uwaterloo.ca/academic-calendar/undergraduate-studies/catalog" TargetMode="External"/><Relationship Id="rId187" Type="http://schemas.openxmlformats.org/officeDocument/2006/relationships/hyperlink" Target="https://uwaterloo.ca/academic-calendar/undergraduate-studies/catalog" TargetMode="External"/><Relationship Id="rId331" Type="http://schemas.openxmlformats.org/officeDocument/2006/relationships/hyperlink" Target="https://uwaterloo.ca/academic-calendar/undergraduate-studies/catalog" TargetMode="External"/><Relationship Id="rId1" Type="http://schemas.openxmlformats.org/officeDocument/2006/relationships/hyperlink" Target="https://uwaterloo.ca/academic-calendar/undergraduate-studies/catalog" TargetMode="External"/><Relationship Id="rId212" Type="http://schemas.openxmlformats.org/officeDocument/2006/relationships/hyperlink" Target="https://uwaterloo.ca/academic-calendar/undergraduate-studies/catalog" TargetMode="External"/><Relationship Id="rId233" Type="http://schemas.openxmlformats.org/officeDocument/2006/relationships/hyperlink" Target="https://uwaterloo.ca/academic-calendar/undergraduate-studies/catalog" TargetMode="External"/><Relationship Id="rId254" Type="http://schemas.openxmlformats.org/officeDocument/2006/relationships/hyperlink" Target="https://uwaterloo.ca/academic-calendar/undergraduate-studies/catalog" TargetMode="External"/><Relationship Id="rId28" Type="http://schemas.openxmlformats.org/officeDocument/2006/relationships/hyperlink" Target="https://uwaterloo.ca/academic-calendar/undergraduate-studies/catalog" TargetMode="External"/><Relationship Id="rId49" Type="http://schemas.openxmlformats.org/officeDocument/2006/relationships/hyperlink" Target="https://uwaterloo.ca/academic-calendar/undergraduate-studies/catalog" TargetMode="External"/><Relationship Id="rId114" Type="http://schemas.openxmlformats.org/officeDocument/2006/relationships/hyperlink" Target="https://uwaterloo.ca/academic-calendar/undergraduate-studies/catalog" TargetMode="External"/><Relationship Id="rId275" Type="http://schemas.openxmlformats.org/officeDocument/2006/relationships/hyperlink" Target="https://uwaterloo.ca/academic-calendar/undergraduate-studies/catalog" TargetMode="External"/><Relationship Id="rId296" Type="http://schemas.openxmlformats.org/officeDocument/2006/relationships/hyperlink" Target="https://uwaterloo.ca/academic-calendar/undergraduate-studies/catalog" TargetMode="External"/><Relationship Id="rId300" Type="http://schemas.openxmlformats.org/officeDocument/2006/relationships/hyperlink" Target="https://uwaterloo.ca/academic-calendar/undergraduate-studies/catalog" TargetMode="External"/><Relationship Id="rId60" Type="http://schemas.openxmlformats.org/officeDocument/2006/relationships/hyperlink" Target="https://uwaterloo.ca/academic-calendar/undergraduate-studies/catalog" TargetMode="External"/><Relationship Id="rId81" Type="http://schemas.openxmlformats.org/officeDocument/2006/relationships/hyperlink" Target="https://uwaterloo.ca/academic-calendar/undergraduate-studies/catalog" TargetMode="External"/><Relationship Id="rId135" Type="http://schemas.openxmlformats.org/officeDocument/2006/relationships/hyperlink" Target="https://uwaterloo.ca/academic-calendar/undergraduate-studies/catalog" TargetMode="External"/><Relationship Id="rId156" Type="http://schemas.openxmlformats.org/officeDocument/2006/relationships/hyperlink" Target="https://uwaterloo.ca/academic-calendar/undergraduate-studies/catalog" TargetMode="External"/><Relationship Id="rId177" Type="http://schemas.openxmlformats.org/officeDocument/2006/relationships/hyperlink" Target="https://uwaterloo.ca/academic-calendar/undergraduate-studies/catalog" TargetMode="External"/><Relationship Id="rId198" Type="http://schemas.openxmlformats.org/officeDocument/2006/relationships/hyperlink" Target="https://uwaterloo.ca/academic-calendar/undergraduate-studies/catalog" TargetMode="External"/><Relationship Id="rId321" Type="http://schemas.openxmlformats.org/officeDocument/2006/relationships/hyperlink" Target="https://uwaterloo.ca/academic-calendar/undergraduate-studies/catalog" TargetMode="External"/><Relationship Id="rId342" Type="http://schemas.openxmlformats.org/officeDocument/2006/relationships/hyperlink" Target="https://uwaterloo.ca/academic-calendar/undergraduate-studies/catalog" TargetMode="External"/><Relationship Id="rId202" Type="http://schemas.openxmlformats.org/officeDocument/2006/relationships/hyperlink" Target="https://uwaterloo.ca/academic-calendar/undergraduate-studies/catalog" TargetMode="External"/><Relationship Id="rId223" Type="http://schemas.openxmlformats.org/officeDocument/2006/relationships/hyperlink" Target="https://uwaterloo.ca/academic-calendar/undergraduate-studies/catalog" TargetMode="External"/><Relationship Id="rId244" Type="http://schemas.openxmlformats.org/officeDocument/2006/relationships/hyperlink" Target="https://uwaterloo.ca/academic-calendar/undergraduate-studies/catalog" TargetMode="External"/><Relationship Id="rId18" Type="http://schemas.openxmlformats.org/officeDocument/2006/relationships/hyperlink" Target="https://uwaterloo.ca/academic-calendar/undergraduate-studies/catalog" TargetMode="External"/><Relationship Id="rId39" Type="http://schemas.openxmlformats.org/officeDocument/2006/relationships/hyperlink" Target="https://uwaterloo.ca/academic-calendar/undergraduate-studies/catalog" TargetMode="External"/><Relationship Id="rId265" Type="http://schemas.openxmlformats.org/officeDocument/2006/relationships/hyperlink" Target="https://uwaterloo.ca/academic-calendar/undergraduate-studies/catalog" TargetMode="External"/><Relationship Id="rId286" Type="http://schemas.openxmlformats.org/officeDocument/2006/relationships/hyperlink" Target="https://uwaterloo.ca/academic-calendar/undergraduate-studies/catalog" TargetMode="External"/><Relationship Id="rId50" Type="http://schemas.openxmlformats.org/officeDocument/2006/relationships/hyperlink" Target="https://uwaterloo.ca/academic-calendar/undergraduate-studies/catalog" TargetMode="External"/><Relationship Id="rId104" Type="http://schemas.openxmlformats.org/officeDocument/2006/relationships/hyperlink" Target="https://uwaterloo.ca/academic-calendar/undergraduate-studies/catalog" TargetMode="External"/><Relationship Id="rId125" Type="http://schemas.openxmlformats.org/officeDocument/2006/relationships/hyperlink" Target="https://uwaterloo.ca/academic-calendar/undergraduate-studies/catalog" TargetMode="External"/><Relationship Id="rId146" Type="http://schemas.openxmlformats.org/officeDocument/2006/relationships/hyperlink" Target="https://uwaterloo.ca/academic-calendar/undergraduate-studies/catalog" TargetMode="External"/><Relationship Id="rId167" Type="http://schemas.openxmlformats.org/officeDocument/2006/relationships/hyperlink" Target="https://uwaterloo.ca/academic-calendar/undergraduate-studies/catalog" TargetMode="External"/><Relationship Id="rId188" Type="http://schemas.openxmlformats.org/officeDocument/2006/relationships/hyperlink" Target="https://uwaterloo.ca/academic-calendar/undergraduate-studies/catalog" TargetMode="External"/><Relationship Id="rId311" Type="http://schemas.openxmlformats.org/officeDocument/2006/relationships/hyperlink" Target="https://uwaterloo.ca/academic-calendar/undergraduate-studies/catalog" TargetMode="External"/><Relationship Id="rId332" Type="http://schemas.openxmlformats.org/officeDocument/2006/relationships/hyperlink" Target="https://uwaterloo.ca/academic-calendar/undergraduate-studies/catalog" TargetMode="External"/><Relationship Id="rId71" Type="http://schemas.openxmlformats.org/officeDocument/2006/relationships/hyperlink" Target="https://uwaterloo.ca/academic-calendar/undergraduate-studies/catalog" TargetMode="External"/><Relationship Id="rId92" Type="http://schemas.openxmlformats.org/officeDocument/2006/relationships/hyperlink" Target="https://uwaterloo.ca/academic-calendar/undergraduate-studies/catalog" TargetMode="External"/><Relationship Id="rId213" Type="http://schemas.openxmlformats.org/officeDocument/2006/relationships/hyperlink" Target="https://uwaterloo.ca/academic-calendar/undergraduate-studies/catalog" TargetMode="External"/><Relationship Id="rId234" Type="http://schemas.openxmlformats.org/officeDocument/2006/relationships/hyperlink" Target="https://uwaterloo.ca/academic-calendar/undergraduate-studies/catalog" TargetMode="External"/><Relationship Id="rId2" Type="http://schemas.openxmlformats.org/officeDocument/2006/relationships/hyperlink" Target="https://uwaterloo.ca/academic-calendar/undergraduate-studies/catalog" TargetMode="External"/><Relationship Id="rId29" Type="http://schemas.openxmlformats.org/officeDocument/2006/relationships/hyperlink" Target="https://uwaterloo.ca/academic-calendar/undergraduate-studies/catalog" TargetMode="External"/><Relationship Id="rId255" Type="http://schemas.openxmlformats.org/officeDocument/2006/relationships/hyperlink" Target="https://uwaterloo.ca/academic-calendar/undergraduate-studies/catalog" TargetMode="External"/><Relationship Id="rId276" Type="http://schemas.openxmlformats.org/officeDocument/2006/relationships/hyperlink" Target="https://uwaterloo.ca/academic-calendar/undergraduate-studies/catalog" TargetMode="External"/><Relationship Id="rId297" Type="http://schemas.openxmlformats.org/officeDocument/2006/relationships/hyperlink" Target="https://uwaterloo.ca/academic-calendar/undergraduate-studies/catalog" TargetMode="External"/><Relationship Id="rId40" Type="http://schemas.openxmlformats.org/officeDocument/2006/relationships/hyperlink" Target="https://uwaterloo.ca/academic-calendar/undergraduate-studies/catalog" TargetMode="External"/><Relationship Id="rId115" Type="http://schemas.openxmlformats.org/officeDocument/2006/relationships/hyperlink" Target="https://uwaterloo.ca/academic-calendar/undergraduate-studies/catalog" TargetMode="External"/><Relationship Id="rId136" Type="http://schemas.openxmlformats.org/officeDocument/2006/relationships/hyperlink" Target="https://uwaterloo.ca/academic-calendar/undergraduate-studies/catalog" TargetMode="External"/><Relationship Id="rId157" Type="http://schemas.openxmlformats.org/officeDocument/2006/relationships/hyperlink" Target="https://uwaterloo.ca/academic-calendar/undergraduate-studies/catalog" TargetMode="External"/><Relationship Id="rId178" Type="http://schemas.openxmlformats.org/officeDocument/2006/relationships/hyperlink" Target="https://uwaterloo.ca/academic-calendar/undergraduate-studies/catalog" TargetMode="External"/><Relationship Id="rId301" Type="http://schemas.openxmlformats.org/officeDocument/2006/relationships/hyperlink" Target="https://uwaterloo.ca/academic-calendar/undergraduate-studies/catalog" TargetMode="External"/><Relationship Id="rId322" Type="http://schemas.openxmlformats.org/officeDocument/2006/relationships/hyperlink" Target="https://uwaterloo.ca/academic-calendar/undergraduate-studies/catalog" TargetMode="External"/><Relationship Id="rId343" Type="http://schemas.openxmlformats.org/officeDocument/2006/relationships/hyperlink" Target="https://uwaterloo.ca/academic-calendar/undergraduate-studies/catalog" TargetMode="External"/><Relationship Id="rId61" Type="http://schemas.openxmlformats.org/officeDocument/2006/relationships/hyperlink" Target="https://uwaterloo.ca/academic-calendar/undergraduate-studies/catalog" TargetMode="External"/><Relationship Id="rId82" Type="http://schemas.openxmlformats.org/officeDocument/2006/relationships/hyperlink" Target="https://uwaterloo.ca/academic-calendar/undergraduate-studies/catalog" TargetMode="External"/><Relationship Id="rId199" Type="http://schemas.openxmlformats.org/officeDocument/2006/relationships/hyperlink" Target="https://uwaterloo.ca/academic-calendar/undergraduate-studies/catalog" TargetMode="External"/><Relationship Id="rId203" Type="http://schemas.openxmlformats.org/officeDocument/2006/relationships/hyperlink" Target="https://uwaterloo.ca/academic-calendar/undergraduate-studies/catalog" TargetMode="External"/><Relationship Id="rId19" Type="http://schemas.openxmlformats.org/officeDocument/2006/relationships/hyperlink" Target="https://uwaterloo.ca/academic-calendar/undergraduate-studies/catalog" TargetMode="External"/><Relationship Id="rId224" Type="http://schemas.openxmlformats.org/officeDocument/2006/relationships/hyperlink" Target="https://uwaterloo.ca/academic-calendar/undergraduate-studies/catalog" TargetMode="External"/><Relationship Id="rId245" Type="http://schemas.openxmlformats.org/officeDocument/2006/relationships/hyperlink" Target="https://uwaterloo.ca/academic-calendar/undergraduate-studies/catalog" TargetMode="External"/><Relationship Id="rId266" Type="http://schemas.openxmlformats.org/officeDocument/2006/relationships/hyperlink" Target="https://uwaterloo.ca/academic-calendar/undergraduate-studies/catalog" TargetMode="External"/><Relationship Id="rId287" Type="http://schemas.openxmlformats.org/officeDocument/2006/relationships/hyperlink" Target="https://uwaterloo.ca/academic-calendar/undergraduate-studies/catalog" TargetMode="External"/><Relationship Id="rId30" Type="http://schemas.openxmlformats.org/officeDocument/2006/relationships/hyperlink" Target="https://uwaterloo.ca/academic-calendar/undergraduate-studies/catalog" TargetMode="External"/><Relationship Id="rId105" Type="http://schemas.openxmlformats.org/officeDocument/2006/relationships/hyperlink" Target="https://uwaterloo.ca/academic-calendar/undergraduate-studies/catalog" TargetMode="External"/><Relationship Id="rId126" Type="http://schemas.openxmlformats.org/officeDocument/2006/relationships/hyperlink" Target="https://uwaterloo.ca/academic-calendar/undergraduate-studies/catalog" TargetMode="External"/><Relationship Id="rId147" Type="http://schemas.openxmlformats.org/officeDocument/2006/relationships/hyperlink" Target="https://uwaterloo.ca/academic-calendar/undergraduate-studies/catalog" TargetMode="External"/><Relationship Id="rId168" Type="http://schemas.openxmlformats.org/officeDocument/2006/relationships/hyperlink" Target="https://uwaterloo.ca/academic-calendar/undergraduate-studies/catalog" TargetMode="External"/><Relationship Id="rId312" Type="http://schemas.openxmlformats.org/officeDocument/2006/relationships/hyperlink" Target="https://uwaterloo.ca/academic-calendar/undergraduate-studies/catalog" TargetMode="External"/><Relationship Id="rId333" Type="http://schemas.openxmlformats.org/officeDocument/2006/relationships/hyperlink" Target="https://uwaterloo.ca/academic-calendar/undergraduate-studies/catalog" TargetMode="External"/><Relationship Id="rId51" Type="http://schemas.openxmlformats.org/officeDocument/2006/relationships/hyperlink" Target="https://uwaterloo.ca/academic-calendar/undergraduate-studies/catalog" TargetMode="External"/><Relationship Id="rId72" Type="http://schemas.openxmlformats.org/officeDocument/2006/relationships/hyperlink" Target="https://uwaterloo.ca/academic-calendar/undergraduate-studies/catalog" TargetMode="External"/><Relationship Id="rId93" Type="http://schemas.openxmlformats.org/officeDocument/2006/relationships/hyperlink" Target="https://uwaterloo.ca/academic-calendar/undergraduate-studies/catalog" TargetMode="External"/><Relationship Id="rId189" Type="http://schemas.openxmlformats.org/officeDocument/2006/relationships/hyperlink" Target="https://uwaterloo.ca/academic-calendar/undergraduate-studies/catalog" TargetMode="External"/><Relationship Id="rId3" Type="http://schemas.openxmlformats.org/officeDocument/2006/relationships/hyperlink" Target="https://uwaterloo.ca/academic-calendar/undergraduate-studies/catalog" TargetMode="External"/><Relationship Id="rId214" Type="http://schemas.openxmlformats.org/officeDocument/2006/relationships/hyperlink" Target="https://uwaterloo.ca/academic-calendar/undergraduate-studies/catalog" TargetMode="External"/><Relationship Id="rId235" Type="http://schemas.openxmlformats.org/officeDocument/2006/relationships/hyperlink" Target="https://uwaterloo.ca/academic-calendar/undergraduate-studies/catalog" TargetMode="External"/><Relationship Id="rId256" Type="http://schemas.openxmlformats.org/officeDocument/2006/relationships/hyperlink" Target="https://uwaterloo.ca/academic-calendar/undergraduate-studies/catalog" TargetMode="External"/><Relationship Id="rId277" Type="http://schemas.openxmlformats.org/officeDocument/2006/relationships/hyperlink" Target="https://uwaterloo.ca/academic-calendar/undergraduate-studies/catalog" TargetMode="External"/><Relationship Id="rId298" Type="http://schemas.openxmlformats.org/officeDocument/2006/relationships/hyperlink" Target="https://uwaterloo.ca/academic-calendar/undergraduate-studies/catalog" TargetMode="External"/><Relationship Id="rId116" Type="http://schemas.openxmlformats.org/officeDocument/2006/relationships/hyperlink" Target="https://uwaterloo.ca/academic-calendar/undergraduate-studies/catalog" TargetMode="External"/><Relationship Id="rId137" Type="http://schemas.openxmlformats.org/officeDocument/2006/relationships/hyperlink" Target="https://uwaterloo.ca/academic-calendar/undergraduate-studies/catalog" TargetMode="External"/><Relationship Id="rId158" Type="http://schemas.openxmlformats.org/officeDocument/2006/relationships/hyperlink" Target="https://uwaterloo.ca/academic-calendar/undergraduate-studies/catalog" TargetMode="External"/><Relationship Id="rId302" Type="http://schemas.openxmlformats.org/officeDocument/2006/relationships/hyperlink" Target="https://uwaterloo.ca/academic-calendar/undergraduate-studies/catalog" TargetMode="External"/><Relationship Id="rId323" Type="http://schemas.openxmlformats.org/officeDocument/2006/relationships/hyperlink" Target="https://uwaterloo.ca/academic-calendar/undergraduate-studies/catalog" TargetMode="External"/><Relationship Id="rId344" Type="http://schemas.openxmlformats.org/officeDocument/2006/relationships/hyperlink" Target="https://uwaterloo.ca/academic-calendar/undergraduate-studies/catalog" TargetMode="External"/><Relationship Id="rId20" Type="http://schemas.openxmlformats.org/officeDocument/2006/relationships/hyperlink" Target="https://uwaterloo.ca/academic-calendar/undergraduate-studies/catalog" TargetMode="External"/><Relationship Id="rId41" Type="http://schemas.openxmlformats.org/officeDocument/2006/relationships/hyperlink" Target="https://uwaterloo.ca/academic-calendar/undergraduate-studies/catalog" TargetMode="External"/><Relationship Id="rId62" Type="http://schemas.openxmlformats.org/officeDocument/2006/relationships/hyperlink" Target="https://uwaterloo.ca/academic-calendar/undergraduate-studies/catalog" TargetMode="External"/><Relationship Id="rId83" Type="http://schemas.openxmlformats.org/officeDocument/2006/relationships/hyperlink" Target="https://uwaterloo.ca/academic-calendar/undergraduate-studies/catalog" TargetMode="External"/><Relationship Id="rId179" Type="http://schemas.openxmlformats.org/officeDocument/2006/relationships/hyperlink" Target="https://uwaterloo.ca/academic-calendar/undergraduate-studies/catalog" TargetMode="External"/><Relationship Id="rId190" Type="http://schemas.openxmlformats.org/officeDocument/2006/relationships/hyperlink" Target="https://uwaterloo.ca/academic-calendar/undergraduate-studies/catalog" TargetMode="External"/><Relationship Id="rId204" Type="http://schemas.openxmlformats.org/officeDocument/2006/relationships/hyperlink" Target="https://uwaterloo.ca/academic-calendar/undergraduate-studies/catalog" TargetMode="External"/><Relationship Id="rId225" Type="http://schemas.openxmlformats.org/officeDocument/2006/relationships/hyperlink" Target="https://uwaterloo.ca/academic-calendar/undergraduate-studies/catalog" TargetMode="External"/><Relationship Id="rId246" Type="http://schemas.openxmlformats.org/officeDocument/2006/relationships/hyperlink" Target="https://uwaterloo.ca/academic-calendar/undergraduate-studies/catalog" TargetMode="External"/><Relationship Id="rId267" Type="http://schemas.openxmlformats.org/officeDocument/2006/relationships/hyperlink" Target="https://uwaterloo.ca/academic-calendar/undergraduate-studies/catalog" TargetMode="External"/><Relationship Id="rId288" Type="http://schemas.openxmlformats.org/officeDocument/2006/relationships/hyperlink" Target="https://uwaterloo.ca/academic-calendar/undergraduate-studies/catalog" TargetMode="External"/><Relationship Id="rId106" Type="http://schemas.openxmlformats.org/officeDocument/2006/relationships/hyperlink" Target="https://uwaterloo.ca/academic-calendar/undergraduate-studies/catalog" TargetMode="External"/><Relationship Id="rId127" Type="http://schemas.openxmlformats.org/officeDocument/2006/relationships/hyperlink" Target="https://uwaterloo.ca/academic-calendar/undergraduate-studies/catalog" TargetMode="External"/><Relationship Id="rId313" Type="http://schemas.openxmlformats.org/officeDocument/2006/relationships/hyperlink" Target="https://uwaterloo.ca/academic-calendar/undergraduate-studies/catalog" TargetMode="External"/><Relationship Id="rId10" Type="http://schemas.openxmlformats.org/officeDocument/2006/relationships/hyperlink" Target="https://uwaterloo.ca/academic-calendar/undergraduate-studies/catalog" TargetMode="External"/><Relationship Id="rId31" Type="http://schemas.openxmlformats.org/officeDocument/2006/relationships/hyperlink" Target="https://uwaterloo.ca/academic-calendar/undergraduate-studies/catalog" TargetMode="External"/><Relationship Id="rId52" Type="http://schemas.openxmlformats.org/officeDocument/2006/relationships/hyperlink" Target="https://uwaterloo.ca/academic-calendar/undergraduate-studies/catalog" TargetMode="External"/><Relationship Id="rId73" Type="http://schemas.openxmlformats.org/officeDocument/2006/relationships/hyperlink" Target="https://uwaterloo.ca/academic-calendar/undergraduate-studies/catalog" TargetMode="External"/><Relationship Id="rId94" Type="http://schemas.openxmlformats.org/officeDocument/2006/relationships/hyperlink" Target="https://uwaterloo.ca/academic-calendar/undergraduate-studies/catalog" TargetMode="External"/><Relationship Id="rId148" Type="http://schemas.openxmlformats.org/officeDocument/2006/relationships/hyperlink" Target="https://uwaterloo.ca/academic-calendar/undergraduate-studies/catalog" TargetMode="External"/><Relationship Id="rId169" Type="http://schemas.openxmlformats.org/officeDocument/2006/relationships/hyperlink" Target="https://uwaterloo.ca/academic-calendar/undergraduate-studies/catalog" TargetMode="External"/><Relationship Id="rId334" Type="http://schemas.openxmlformats.org/officeDocument/2006/relationships/hyperlink" Target="https://uwaterloo.ca/academic-calendar/undergraduate-studies/catalog" TargetMode="External"/><Relationship Id="rId4" Type="http://schemas.openxmlformats.org/officeDocument/2006/relationships/hyperlink" Target="https://uwaterloo.ca/academic-calendar/undergraduate-studies/catalog" TargetMode="External"/><Relationship Id="rId180" Type="http://schemas.openxmlformats.org/officeDocument/2006/relationships/hyperlink" Target="https://uwaterloo.ca/academic-calendar/undergraduate-studies/catalog" TargetMode="External"/><Relationship Id="rId215" Type="http://schemas.openxmlformats.org/officeDocument/2006/relationships/hyperlink" Target="https://uwaterloo.ca/academic-calendar/undergraduate-studies/catalog" TargetMode="External"/><Relationship Id="rId236" Type="http://schemas.openxmlformats.org/officeDocument/2006/relationships/hyperlink" Target="https://uwaterloo.ca/academic-calendar/undergraduate-studies/catalog" TargetMode="External"/><Relationship Id="rId257" Type="http://schemas.openxmlformats.org/officeDocument/2006/relationships/hyperlink" Target="https://uwaterloo.ca/academic-calendar/undergraduate-studies/catalog" TargetMode="External"/><Relationship Id="rId278" Type="http://schemas.openxmlformats.org/officeDocument/2006/relationships/hyperlink" Target="https://uwaterloo.ca/academic-calendar/undergraduate-studies/catalog" TargetMode="External"/><Relationship Id="rId303" Type="http://schemas.openxmlformats.org/officeDocument/2006/relationships/hyperlink" Target="https://uwaterloo.ca/academic-calendar/undergraduate-studies/catalog" TargetMode="External"/><Relationship Id="rId42" Type="http://schemas.openxmlformats.org/officeDocument/2006/relationships/hyperlink" Target="https://uwaterloo.ca/academic-calendar/undergraduate-studies/catalog" TargetMode="External"/><Relationship Id="rId84" Type="http://schemas.openxmlformats.org/officeDocument/2006/relationships/hyperlink" Target="https://uwaterloo.ca/academic-calendar/undergraduate-studies/catalog" TargetMode="External"/><Relationship Id="rId138" Type="http://schemas.openxmlformats.org/officeDocument/2006/relationships/hyperlink" Target="https://uwaterloo.ca/academic-calendar/undergraduate-studies/catalog" TargetMode="External"/><Relationship Id="rId345" Type="http://schemas.openxmlformats.org/officeDocument/2006/relationships/hyperlink" Target="https://uwaterloo.ca/academic-calendar/undergraduate-studies/catalog" TargetMode="External"/><Relationship Id="rId191" Type="http://schemas.openxmlformats.org/officeDocument/2006/relationships/hyperlink" Target="https://uwaterloo.ca/academic-calendar/undergraduate-studies/catalog" TargetMode="External"/><Relationship Id="rId205" Type="http://schemas.openxmlformats.org/officeDocument/2006/relationships/hyperlink" Target="https://uwaterloo.ca/academic-calendar/undergraduate-studies/catalog" TargetMode="External"/><Relationship Id="rId247" Type="http://schemas.openxmlformats.org/officeDocument/2006/relationships/hyperlink" Target="https://uwaterloo.ca/academic-calendar/undergraduate-studies/catalog" TargetMode="External"/><Relationship Id="rId107" Type="http://schemas.openxmlformats.org/officeDocument/2006/relationships/hyperlink" Target="https://uwaterloo.ca/academic-calendar/undergraduate-studies/catalog" TargetMode="External"/><Relationship Id="rId289" Type="http://schemas.openxmlformats.org/officeDocument/2006/relationships/hyperlink" Target="https://uwaterloo.ca/academic-calendar/undergraduate-studies/catalog" TargetMode="External"/><Relationship Id="rId11" Type="http://schemas.openxmlformats.org/officeDocument/2006/relationships/hyperlink" Target="https://uwaterloo.ca/academic-calendar/undergraduate-studies/catalog" TargetMode="External"/><Relationship Id="rId53" Type="http://schemas.openxmlformats.org/officeDocument/2006/relationships/hyperlink" Target="https://uwaterloo.ca/academic-calendar/undergraduate-studies/catalog" TargetMode="External"/><Relationship Id="rId149" Type="http://schemas.openxmlformats.org/officeDocument/2006/relationships/hyperlink" Target="https://uwaterloo.ca/academic-calendar/undergraduate-studies/catalog" TargetMode="External"/><Relationship Id="rId314" Type="http://schemas.openxmlformats.org/officeDocument/2006/relationships/hyperlink" Target="https://uwaterloo.ca/academic-calendar/undergraduate-studies/catalog" TargetMode="External"/><Relationship Id="rId95" Type="http://schemas.openxmlformats.org/officeDocument/2006/relationships/hyperlink" Target="https://uwaterloo.ca/academic-calendar/undergraduate-studies/catalog" TargetMode="External"/><Relationship Id="rId160" Type="http://schemas.openxmlformats.org/officeDocument/2006/relationships/hyperlink" Target="https://uwaterloo.ca/academic-calendar/undergraduate-studies/catalog" TargetMode="External"/><Relationship Id="rId216" Type="http://schemas.openxmlformats.org/officeDocument/2006/relationships/hyperlink" Target="https://uwaterloo.ca/academic-calendar/undergraduate-studies/catalog" TargetMode="External"/><Relationship Id="rId258" Type="http://schemas.openxmlformats.org/officeDocument/2006/relationships/hyperlink" Target="https://uwaterloo.ca/academic-calendar/undergraduate-studies/catalog" TargetMode="External"/><Relationship Id="rId22" Type="http://schemas.openxmlformats.org/officeDocument/2006/relationships/hyperlink" Target="https://uwaterloo.ca/academic-calendar/undergraduate-studies/catalog" TargetMode="External"/><Relationship Id="rId64" Type="http://schemas.openxmlformats.org/officeDocument/2006/relationships/hyperlink" Target="https://uwaterloo.ca/academic-calendar/undergraduate-studies/catalog" TargetMode="External"/><Relationship Id="rId118" Type="http://schemas.openxmlformats.org/officeDocument/2006/relationships/hyperlink" Target="https://uwaterloo.ca/academic-calendar/undergraduate-studies/catalog" TargetMode="External"/><Relationship Id="rId325" Type="http://schemas.openxmlformats.org/officeDocument/2006/relationships/hyperlink" Target="https://uwaterloo.ca/academic-calendar/undergraduate-studies/catalog" TargetMode="External"/><Relationship Id="rId171" Type="http://schemas.openxmlformats.org/officeDocument/2006/relationships/hyperlink" Target="https://uwaterloo.ca/academic-calendar/undergraduate-studies/catalog" TargetMode="External"/><Relationship Id="rId227" Type="http://schemas.openxmlformats.org/officeDocument/2006/relationships/hyperlink" Target="https://uwaterloo.ca/academic-calendar/undergraduate-studies/catalog" TargetMode="External"/><Relationship Id="rId269" Type="http://schemas.openxmlformats.org/officeDocument/2006/relationships/hyperlink" Target="https://uwaterloo.ca/academic-calendar/undergraduate-studies/catalog" TargetMode="External"/><Relationship Id="rId33" Type="http://schemas.openxmlformats.org/officeDocument/2006/relationships/hyperlink" Target="https://uwaterloo.ca/academic-calendar/undergraduate-studies/catalog" TargetMode="External"/><Relationship Id="rId129" Type="http://schemas.openxmlformats.org/officeDocument/2006/relationships/hyperlink" Target="https://uwaterloo.ca/academic-calendar/undergraduate-studies/catalog" TargetMode="External"/><Relationship Id="rId280" Type="http://schemas.openxmlformats.org/officeDocument/2006/relationships/hyperlink" Target="https://uwaterloo.ca/academic-calendar/undergraduate-studies/catalog" TargetMode="External"/><Relationship Id="rId336" Type="http://schemas.openxmlformats.org/officeDocument/2006/relationships/hyperlink" Target="https://uwaterloo.ca/academic-calendar/undergraduate-studies/catalog" TargetMode="External"/><Relationship Id="rId75" Type="http://schemas.openxmlformats.org/officeDocument/2006/relationships/hyperlink" Target="https://uwaterloo.ca/academic-calendar/undergraduate-studies/catalog" TargetMode="External"/><Relationship Id="rId140" Type="http://schemas.openxmlformats.org/officeDocument/2006/relationships/hyperlink" Target="https://uwaterloo.ca/academic-calendar/undergraduate-studies/catalog" TargetMode="External"/><Relationship Id="rId182" Type="http://schemas.openxmlformats.org/officeDocument/2006/relationships/hyperlink" Target="https://uwaterloo.ca/academic-calendar/undergraduate-studies/catalog" TargetMode="External"/><Relationship Id="rId6" Type="http://schemas.openxmlformats.org/officeDocument/2006/relationships/hyperlink" Target="https://uwaterloo.ca/academic-calendar/undergraduate-studies/catalog" TargetMode="External"/><Relationship Id="rId238" Type="http://schemas.openxmlformats.org/officeDocument/2006/relationships/hyperlink" Target="https://uwaterloo.ca/academic-calendar/undergraduate-studies/catalog" TargetMode="External"/><Relationship Id="rId291" Type="http://schemas.openxmlformats.org/officeDocument/2006/relationships/hyperlink" Target="https://uwaterloo.ca/academic-calendar/undergraduate-studies/catalog" TargetMode="External"/><Relationship Id="rId305" Type="http://schemas.openxmlformats.org/officeDocument/2006/relationships/hyperlink" Target="https://uwaterloo.ca/academic-calendar/undergraduate-studies/catalog" TargetMode="External"/><Relationship Id="rId347" Type="http://schemas.openxmlformats.org/officeDocument/2006/relationships/hyperlink" Target="https://uwaterloo.ca/academic-calendar/undergraduate-studies/catalog" TargetMode="External"/><Relationship Id="rId44" Type="http://schemas.openxmlformats.org/officeDocument/2006/relationships/hyperlink" Target="https://uwaterloo.ca/academic-calendar/undergraduate-studies/catalog" TargetMode="External"/><Relationship Id="rId86" Type="http://schemas.openxmlformats.org/officeDocument/2006/relationships/hyperlink" Target="https://uwaterloo.ca/academic-calendar/undergraduate-studies/catalog" TargetMode="External"/><Relationship Id="rId151" Type="http://schemas.openxmlformats.org/officeDocument/2006/relationships/hyperlink" Target="https://uwaterloo.ca/academic-calendar/undergraduate-studies/catalog" TargetMode="External"/><Relationship Id="rId193" Type="http://schemas.openxmlformats.org/officeDocument/2006/relationships/hyperlink" Target="https://uwaterloo.ca/academic-calendar/undergraduate-studies/catalog" TargetMode="External"/><Relationship Id="rId207" Type="http://schemas.openxmlformats.org/officeDocument/2006/relationships/hyperlink" Target="https://uwaterloo.ca/academic-calendar/undergraduate-studies/catalog" TargetMode="External"/><Relationship Id="rId249" Type="http://schemas.openxmlformats.org/officeDocument/2006/relationships/hyperlink" Target="https://uwaterloo.ca/academic-calendar/undergraduate-studies/catalog" TargetMode="External"/><Relationship Id="rId13" Type="http://schemas.openxmlformats.org/officeDocument/2006/relationships/hyperlink" Target="https://uwaterloo.ca/academic-calendar/undergraduate-studies/catalog" TargetMode="External"/><Relationship Id="rId109" Type="http://schemas.openxmlformats.org/officeDocument/2006/relationships/hyperlink" Target="https://uwaterloo.ca/academic-calendar/undergraduate-studies/catalog" TargetMode="External"/><Relationship Id="rId260" Type="http://schemas.openxmlformats.org/officeDocument/2006/relationships/hyperlink" Target="https://uwaterloo.ca/academic-calendar/undergraduate-studies/catalog" TargetMode="External"/><Relationship Id="rId316" Type="http://schemas.openxmlformats.org/officeDocument/2006/relationships/hyperlink" Target="https://uwaterloo.ca/academic-calendar/undergraduate-studies/catalog" TargetMode="External"/><Relationship Id="rId55" Type="http://schemas.openxmlformats.org/officeDocument/2006/relationships/hyperlink" Target="https://uwaterloo.ca/academic-calendar/undergraduate-studies/catalog" TargetMode="External"/><Relationship Id="rId97" Type="http://schemas.openxmlformats.org/officeDocument/2006/relationships/hyperlink" Target="https://uwaterloo.ca/academic-calendar/undergraduate-studies/catalog" TargetMode="External"/><Relationship Id="rId120" Type="http://schemas.openxmlformats.org/officeDocument/2006/relationships/hyperlink" Target="https://uwaterloo.ca/academic-calendar/undergraduate-studies/catalog" TargetMode="External"/><Relationship Id="rId162" Type="http://schemas.openxmlformats.org/officeDocument/2006/relationships/hyperlink" Target="https://uwaterloo.ca/academic-calendar/undergraduate-studies/catalog" TargetMode="External"/><Relationship Id="rId218" Type="http://schemas.openxmlformats.org/officeDocument/2006/relationships/hyperlink" Target="https://uwaterloo.ca/academic-calendar/undergraduate-studies/catalog" TargetMode="External"/><Relationship Id="rId271" Type="http://schemas.openxmlformats.org/officeDocument/2006/relationships/hyperlink" Target="https://uwaterloo.ca/academic-calendar/undergraduate-studies/catalog" TargetMode="External"/><Relationship Id="rId24" Type="http://schemas.openxmlformats.org/officeDocument/2006/relationships/hyperlink" Target="https://uwaterloo.ca/academic-calendar/undergraduate-studies/catalog" TargetMode="External"/><Relationship Id="rId66" Type="http://schemas.openxmlformats.org/officeDocument/2006/relationships/hyperlink" Target="https://uwaterloo.ca/academic-calendar/undergraduate-studies/catalog" TargetMode="External"/><Relationship Id="rId131" Type="http://schemas.openxmlformats.org/officeDocument/2006/relationships/hyperlink" Target="https://uwaterloo.ca/academic-calendar/undergraduate-studies/catalog" TargetMode="External"/><Relationship Id="rId327" Type="http://schemas.openxmlformats.org/officeDocument/2006/relationships/hyperlink" Target="https://uwaterloo.ca/academic-calendar/undergraduate-studies/catalog" TargetMode="External"/><Relationship Id="rId173" Type="http://schemas.openxmlformats.org/officeDocument/2006/relationships/hyperlink" Target="https://uwaterloo.ca/academic-calendar/undergraduate-studies/catalog" TargetMode="External"/><Relationship Id="rId229" Type="http://schemas.openxmlformats.org/officeDocument/2006/relationships/hyperlink" Target="https://uwaterloo.ca/academic-calendar/undergraduate-studies/catalog" TargetMode="External"/><Relationship Id="rId240" Type="http://schemas.openxmlformats.org/officeDocument/2006/relationships/hyperlink" Target="https://uwaterloo.ca/academic-calendar/undergraduate-studies/catalog" TargetMode="External"/><Relationship Id="rId35" Type="http://schemas.openxmlformats.org/officeDocument/2006/relationships/hyperlink" Target="https://uwaterloo.ca/academic-calendar/undergraduate-studies/catalog" TargetMode="External"/><Relationship Id="rId77" Type="http://schemas.openxmlformats.org/officeDocument/2006/relationships/hyperlink" Target="https://uwaterloo.ca/academic-calendar/undergraduate-studies/catalog" TargetMode="External"/><Relationship Id="rId100" Type="http://schemas.openxmlformats.org/officeDocument/2006/relationships/hyperlink" Target="https://uwaterloo.ca/academic-calendar/undergraduate-studies/catalog" TargetMode="External"/><Relationship Id="rId282" Type="http://schemas.openxmlformats.org/officeDocument/2006/relationships/hyperlink" Target="https://uwaterloo.ca/academic-calendar/undergraduate-studies/catalog" TargetMode="External"/><Relationship Id="rId338" Type="http://schemas.openxmlformats.org/officeDocument/2006/relationships/hyperlink" Target="https://uwaterloo.ca/academic-calendar/undergraduate-studies/catal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9453-0073-4048-A1F7-4A006952AB64}">
  <dimension ref="A1:K51"/>
  <sheetViews>
    <sheetView tabSelected="1" zoomScale="43" workbookViewId="0">
      <selection activeCell="C40" sqref="C40"/>
    </sheetView>
  </sheetViews>
  <sheetFormatPr defaultColWidth="10.796875" defaultRowHeight="25.8" x14ac:dyDescent="0.5"/>
  <cols>
    <col min="1" max="1" width="10.796875" style="3"/>
    <col min="2" max="2" width="20.09765625" style="3" customWidth="1"/>
    <col min="3" max="3" width="132.296875" style="3" customWidth="1"/>
    <col min="4" max="4" width="96.09765625" style="3" customWidth="1"/>
    <col min="5" max="5" width="33.8984375" style="3" customWidth="1"/>
    <col min="6" max="6" width="23.69921875" style="3" customWidth="1"/>
    <col min="7" max="7" width="10.796875" style="3"/>
    <col min="8" max="8" width="36.5" style="3" customWidth="1"/>
    <col min="9" max="10" width="10.796875" style="3"/>
    <col min="11" max="11" width="47.796875" style="3" customWidth="1"/>
    <col min="12" max="16384" width="10.796875" style="3"/>
  </cols>
  <sheetData>
    <row r="1" spans="1:11" x14ac:dyDescent="0.5">
      <c r="A1" s="14" t="s">
        <v>679</v>
      </c>
      <c r="B1" s="14"/>
      <c r="C1" s="6">
        <v>4</v>
      </c>
      <c r="G1" s="16" t="s">
        <v>680</v>
      </c>
      <c r="H1" s="14" t="s">
        <v>681</v>
      </c>
      <c r="I1" s="14"/>
      <c r="J1" s="7" t="s">
        <v>682</v>
      </c>
      <c r="K1" s="7" t="s">
        <v>683</v>
      </c>
    </row>
    <row r="2" spans="1:11" x14ac:dyDescent="0.5">
      <c r="A2" s="7" t="s">
        <v>677</v>
      </c>
      <c r="B2" s="7" t="s">
        <v>678</v>
      </c>
      <c r="C2" s="8"/>
      <c r="F2" s="7" t="s">
        <v>773</v>
      </c>
      <c r="G2" s="17"/>
      <c r="H2" s="19" t="s">
        <v>684</v>
      </c>
      <c r="I2" s="6">
        <v>1</v>
      </c>
      <c r="J2" s="3">
        <f>COUNTIF(F:F,"List 1")</f>
        <v>1</v>
      </c>
      <c r="K2" s="20" t="str">
        <f>IF(J3+J4=4,"Good", IF(J3+J4&lt;4,"Not Enough TEs", "Too Many TEs"))</f>
        <v>Good</v>
      </c>
    </row>
    <row r="3" spans="1:11" x14ac:dyDescent="0.5">
      <c r="A3" s="14" t="s">
        <v>14</v>
      </c>
      <c r="B3" s="15" t="str">
        <f>IF($C$1=4, _xlfn.XLOOKUP(A3,'Study Work Sequence Chart '!$B$2:$B$15,'Study Work Sequence Chart '!$C$2:$C$15),_xlfn.XLOOKUP(A3,'Study Work Sequence Chart '!$B$16:$B$29,'Study Work Sequence Chart '!$C$16:$C$29))</f>
        <v>Fall 26</v>
      </c>
      <c r="C3" s="2" t="s">
        <v>14</v>
      </c>
      <c r="D3" s="3" t="s">
        <v>735</v>
      </c>
      <c r="E3" s="3">
        <v>0.5</v>
      </c>
      <c r="G3" s="17"/>
      <c r="H3" s="19"/>
      <c r="I3" s="6">
        <v>2</v>
      </c>
      <c r="J3" s="13">
        <f>COUNTIF(F:F,"List 2")</f>
        <v>2</v>
      </c>
      <c r="K3" s="20"/>
    </row>
    <row r="4" spans="1:11" x14ac:dyDescent="0.5">
      <c r="A4" s="14"/>
      <c r="B4" s="15"/>
      <c r="C4" s="2" t="s">
        <v>698</v>
      </c>
      <c r="D4" s="3" t="s">
        <v>736</v>
      </c>
      <c r="E4" s="3">
        <v>0.5</v>
      </c>
      <c r="G4" s="17"/>
      <c r="H4" s="19" t="s">
        <v>685</v>
      </c>
      <c r="I4" s="6" t="s">
        <v>686</v>
      </c>
      <c r="J4" s="3">
        <f>COUNTIF(F:F,"List A")</f>
        <v>2</v>
      </c>
      <c r="K4" s="9" t="str">
        <f>IF(J4=0, "Not Enough From List A", IF(J5&gt;2, "Too Many From List A", "Good"))</f>
        <v>Good</v>
      </c>
    </row>
    <row r="5" spans="1:11" x14ac:dyDescent="0.5">
      <c r="A5" s="14"/>
      <c r="B5" s="15"/>
      <c r="C5" s="2" t="s">
        <v>699</v>
      </c>
      <c r="D5" s="3" t="s">
        <v>737</v>
      </c>
      <c r="E5" s="3">
        <v>0.5</v>
      </c>
      <c r="G5" s="17"/>
      <c r="H5" s="19"/>
      <c r="I5" s="6" t="s">
        <v>687</v>
      </c>
      <c r="J5" s="3">
        <f>COUNTIF(F:F,"List B")</f>
        <v>0</v>
      </c>
      <c r="K5" s="9" t="str">
        <f>IF(J5&lt;&gt;0, "Too Many From List B", "Good")</f>
        <v>Good</v>
      </c>
    </row>
    <row r="6" spans="1:11" x14ac:dyDescent="0.5">
      <c r="A6" s="14"/>
      <c r="B6" s="15"/>
      <c r="C6" s="2" t="s">
        <v>700</v>
      </c>
      <c r="D6" s="3" t="s">
        <v>738</v>
      </c>
      <c r="E6" s="3">
        <v>0.5</v>
      </c>
      <c r="G6" s="17"/>
      <c r="H6" s="19"/>
      <c r="I6" s="6" t="s">
        <v>688</v>
      </c>
      <c r="J6" s="3">
        <f>COUNTIF(F:F,"List C")</f>
        <v>1</v>
      </c>
      <c r="K6" s="9" t="str">
        <f>IF(J7=0, "Not Enough From List C", IF(J7&gt;2, "Too Many From List C", "Good"))</f>
        <v>Good</v>
      </c>
    </row>
    <row r="7" spans="1:11" x14ac:dyDescent="0.5">
      <c r="A7" s="14"/>
      <c r="B7" s="15"/>
      <c r="C7" s="2" t="s">
        <v>701</v>
      </c>
      <c r="D7" s="3" t="s">
        <v>739</v>
      </c>
      <c r="E7" s="3">
        <v>0.5</v>
      </c>
      <c r="G7" s="17"/>
      <c r="H7" s="19"/>
      <c r="I7" s="6" t="s">
        <v>689</v>
      </c>
      <c r="J7" s="3">
        <f>COUNTIF(F:F,"List D")</f>
        <v>1</v>
      </c>
      <c r="K7" s="9" t="str">
        <f>IF(J8&gt;1, "Too Many From List D", "Good")</f>
        <v>Good</v>
      </c>
    </row>
    <row r="8" spans="1:11" x14ac:dyDescent="0.5">
      <c r="A8" s="14"/>
      <c r="B8" s="15"/>
      <c r="C8" s="2" t="s">
        <v>702</v>
      </c>
      <c r="D8" s="3" t="s">
        <v>740</v>
      </c>
      <c r="E8" s="3">
        <v>0.5</v>
      </c>
      <c r="G8" s="17"/>
    </row>
    <row r="9" spans="1:11" x14ac:dyDescent="0.5">
      <c r="A9" s="14" t="s">
        <v>15</v>
      </c>
      <c r="B9" s="15" t="str">
        <f>IF($C$1=4,_xlfn.XLOOKUP(A9,'Study Work Sequence Chart '!$B$2:$B$15,'Study Work Sequence Chart '!$C$2:$C$15),_xlfn.XLOOKUP(A9,'Study Work Sequence Chart '!$B$16:$B$29,'Study Work Sequence Chart '!$C$16:$C$29))</f>
        <v>Summer 27</v>
      </c>
      <c r="C9" s="2" t="s">
        <v>703</v>
      </c>
      <c r="D9" s="3" t="s">
        <v>741</v>
      </c>
      <c r="E9" s="3">
        <v>0.5</v>
      </c>
      <c r="G9" s="17"/>
    </row>
    <row r="10" spans="1:11" x14ac:dyDescent="0.5">
      <c r="A10" s="14"/>
      <c r="B10" s="15"/>
      <c r="C10" s="2" t="s">
        <v>704</v>
      </c>
      <c r="D10" s="3" t="s">
        <v>742</v>
      </c>
      <c r="E10" s="3">
        <v>0.5</v>
      </c>
      <c r="G10" s="17"/>
    </row>
    <row r="11" spans="1:11" x14ac:dyDescent="0.5">
      <c r="A11" s="14"/>
      <c r="B11" s="15"/>
      <c r="C11" s="2" t="s">
        <v>705</v>
      </c>
      <c r="D11" s="3" t="s">
        <v>743</v>
      </c>
      <c r="E11" s="3">
        <v>0.5</v>
      </c>
      <c r="G11" s="17"/>
    </row>
    <row r="12" spans="1:11" x14ac:dyDescent="0.5">
      <c r="A12" s="14"/>
      <c r="B12" s="15"/>
      <c r="C12" s="2" t="s">
        <v>706</v>
      </c>
      <c r="D12" s="3" t="s">
        <v>744</v>
      </c>
      <c r="E12" s="3">
        <v>0.25</v>
      </c>
      <c r="G12" s="17"/>
    </row>
    <row r="13" spans="1:11" x14ac:dyDescent="0.5">
      <c r="A13" s="14"/>
      <c r="B13" s="15"/>
      <c r="C13" s="2" t="s">
        <v>707</v>
      </c>
      <c r="D13" s="3" t="s">
        <v>745</v>
      </c>
      <c r="E13" s="3">
        <v>0.5</v>
      </c>
      <c r="G13" s="17"/>
    </row>
    <row r="14" spans="1:11" x14ac:dyDescent="0.5">
      <c r="A14" s="14"/>
      <c r="B14" s="15"/>
      <c r="C14" s="2" t="s">
        <v>708</v>
      </c>
      <c r="D14" s="3" t="s">
        <v>746</v>
      </c>
      <c r="E14" s="3">
        <v>0.5</v>
      </c>
      <c r="G14" s="17"/>
    </row>
    <row r="15" spans="1:11" x14ac:dyDescent="0.5">
      <c r="A15" s="14"/>
      <c r="B15" s="15"/>
      <c r="C15" s="10" t="s">
        <v>571</v>
      </c>
      <c r="D15" s="3" t="str">
        <f>VLOOKUP(C15,'Elective Lists'!$B$2:$D$352, 2,FALSE)</f>
        <v xml:space="preserve"> Communication in the Engineering Profession (AE, CHE, CIVE, ENVE, GEOE) </v>
      </c>
      <c r="E15" s="3">
        <f>VLOOKUP(C15,'Elective Lists'!$B$2:$D$352, 3,FALSE)</f>
        <v>0.5</v>
      </c>
      <c r="G15" s="17"/>
    </row>
    <row r="16" spans="1:11" x14ac:dyDescent="0.5">
      <c r="A16" s="14" t="s">
        <v>16</v>
      </c>
      <c r="B16" s="15" t="str">
        <f>IF($C$1=4,_xlfn.XLOOKUP(A16,'Study Work Sequence Chart '!$B$2:$B$15,'Study Work Sequence Chart '!$C$2:$C$15),_xlfn.XLOOKUP(A16,'Study Work Sequence Chart '!$B$16:$B$29,'Study Work Sequence Chart '!$C$16:$C$29))</f>
        <v>Winter 28</v>
      </c>
      <c r="C16" s="2" t="s">
        <v>709</v>
      </c>
      <c r="D16" s="3" t="s">
        <v>747</v>
      </c>
      <c r="E16" s="3">
        <v>0.5</v>
      </c>
      <c r="G16" s="17"/>
    </row>
    <row r="17" spans="1:7" x14ac:dyDescent="0.5">
      <c r="A17" s="14"/>
      <c r="B17" s="15"/>
      <c r="C17" s="2" t="s">
        <v>710</v>
      </c>
      <c r="D17" s="3" t="s">
        <v>748</v>
      </c>
      <c r="E17" s="3">
        <v>0.5</v>
      </c>
      <c r="G17" s="17"/>
    </row>
    <row r="18" spans="1:7" x14ac:dyDescent="0.5">
      <c r="A18" s="14"/>
      <c r="B18" s="15"/>
      <c r="C18" s="2" t="s">
        <v>711</v>
      </c>
      <c r="D18" s="3" t="s">
        <v>749</v>
      </c>
      <c r="E18" s="3">
        <v>0.5</v>
      </c>
      <c r="G18" s="17"/>
    </row>
    <row r="19" spans="1:7" x14ac:dyDescent="0.5">
      <c r="A19" s="14"/>
      <c r="B19" s="15"/>
      <c r="C19" s="2" t="s">
        <v>712</v>
      </c>
      <c r="D19" s="3" t="s">
        <v>750</v>
      </c>
      <c r="E19" s="3">
        <v>0.25</v>
      </c>
      <c r="G19" s="17"/>
    </row>
    <row r="20" spans="1:7" x14ac:dyDescent="0.5">
      <c r="A20" s="14"/>
      <c r="B20" s="15"/>
      <c r="C20" s="2" t="s">
        <v>713</v>
      </c>
      <c r="D20" s="3" t="s">
        <v>751</v>
      </c>
      <c r="E20" s="3">
        <v>0.5</v>
      </c>
      <c r="G20" s="17"/>
    </row>
    <row r="21" spans="1:7" x14ac:dyDescent="0.5">
      <c r="A21" s="14"/>
      <c r="B21" s="15"/>
      <c r="C21" s="2" t="s">
        <v>714</v>
      </c>
      <c r="D21" s="3" t="s">
        <v>752</v>
      </c>
      <c r="E21" s="3">
        <v>0.25</v>
      </c>
      <c r="G21" s="17"/>
    </row>
    <row r="22" spans="1:7" x14ac:dyDescent="0.5">
      <c r="A22" s="14"/>
      <c r="B22" s="15"/>
      <c r="C22" s="2" t="s">
        <v>715</v>
      </c>
      <c r="D22" s="3" t="s">
        <v>753</v>
      </c>
      <c r="E22" s="3">
        <v>0.5</v>
      </c>
      <c r="G22" s="17"/>
    </row>
    <row r="23" spans="1:7" x14ac:dyDescent="0.5">
      <c r="A23" s="14" t="s">
        <v>17</v>
      </c>
      <c r="B23" s="15" t="str">
        <f>IF($C$1=4,_xlfn.XLOOKUP(A23,'Study Work Sequence Chart '!$B$2:$B$15,'Study Work Sequence Chart '!$C$2:$C$15),_xlfn.XLOOKUP(A23,'Study Work Sequence Chart '!$B$16:$B$29,'Study Work Sequence Chart '!$C$16:$C$29))</f>
        <v>Fall 28</v>
      </c>
      <c r="C23" s="2" t="s">
        <v>716</v>
      </c>
      <c r="D23" s="3" t="s">
        <v>754</v>
      </c>
      <c r="E23" s="3">
        <v>0.5</v>
      </c>
      <c r="G23" s="17"/>
    </row>
    <row r="24" spans="1:7" x14ac:dyDescent="0.5">
      <c r="A24" s="14"/>
      <c r="B24" s="15"/>
      <c r="C24" s="2" t="s">
        <v>717</v>
      </c>
      <c r="D24" s="3" t="s">
        <v>755</v>
      </c>
      <c r="E24" s="3">
        <v>0.5</v>
      </c>
      <c r="G24" s="17"/>
    </row>
    <row r="25" spans="1:7" x14ac:dyDescent="0.5">
      <c r="A25" s="14"/>
      <c r="B25" s="15"/>
      <c r="C25" s="2" t="s">
        <v>718</v>
      </c>
      <c r="D25" s="3" t="s">
        <v>756</v>
      </c>
      <c r="E25" s="3">
        <v>0.5</v>
      </c>
      <c r="G25" s="17"/>
    </row>
    <row r="26" spans="1:7" x14ac:dyDescent="0.5">
      <c r="A26" s="14"/>
      <c r="B26" s="15"/>
      <c r="C26" s="2" t="s">
        <v>719</v>
      </c>
      <c r="D26" s="3" t="s">
        <v>757</v>
      </c>
      <c r="E26" s="3">
        <v>0.25</v>
      </c>
      <c r="G26" s="17"/>
    </row>
    <row r="27" spans="1:7" x14ac:dyDescent="0.5">
      <c r="A27" s="14"/>
      <c r="B27" s="15"/>
      <c r="C27" s="2" t="s">
        <v>720</v>
      </c>
      <c r="D27" s="3" t="s">
        <v>758</v>
      </c>
      <c r="E27" s="3">
        <v>0.5</v>
      </c>
      <c r="G27" s="17"/>
    </row>
    <row r="28" spans="1:7" x14ac:dyDescent="0.5">
      <c r="A28" s="14"/>
      <c r="B28" s="15"/>
      <c r="C28" s="10" t="s">
        <v>35</v>
      </c>
      <c r="D28" s="3" t="str">
        <f>VLOOKUP(C28,'Elective Lists'!$B$2:$D$352, 2,FALSE)</f>
        <v xml:space="preserve"> Environment and Development in a Global Perspective </v>
      </c>
      <c r="E28" s="3">
        <f>VLOOKUP(C28,'Elective Lists'!$B$2:$D$352, 3,FALSE)</f>
        <v>0.5</v>
      </c>
      <c r="F28" s="3" t="str">
        <f>_xlfn.XLOOKUP(C28,'Elective Lists'!$B:$B,'Elective Lists'!$A:$A)</f>
        <v>List A</v>
      </c>
      <c r="G28" s="17"/>
    </row>
    <row r="29" spans="1:7" x14ac:dyDescent="0.5">
      <c r="A29" s="14" t="s">
        <v>18</v>
      </c>
      <c r="B29" s="15" t="str">
        <f>IF($C$1=4,_xlfn.XLOOKUP(A29,'Study Work Sequence Chart '!$B$2:$B$15,'Study Work Sequence Chart '!$C$2:$C$15),_xlfn.XLOOKUP(A29,'Study Work Sequence Chart '!$B$16:$B$29,'Study Work Sequence Chart '!$C$16:$C$29))</f>
        <v>Summer 29</v>
      </c>
      <c r="C29" s="2" t="s">
        <v>721</v>
      </c>
      <c r="D29" s="3" t="s">
        <v>759</v>
      </c>
      <c r="E29" s="3">
        <v>0.5</v>
      </c>
      <c r="G29" s="17"/>
    </row>
    <row r="30" spans="1:7" x14ac:dyDescent="0.5">
      <c r="A30" s="14"/>
      <c r="B30" s="15"/>
      <c r="C30" s="2" t="s">
        <v>722</v>
      </c>
      <c r="D30" s="3" t="s">
        <v>760</v>
      </c>
      <c r="E30" s="3">
        <v>0.5</v>
      </c>
      <c r="G30" s="17"/>
    </row>
    <row r="31" spans="1:7" x14ac:dyDescent="0.5">
      <c r="A31" s="14"/>
      <c r="B31" s="15"/>
      <c r="C31" s="2" t="s">
        <v>723</v>
      </c>
      <c r="D31" s="3" t="s">
        <v>761</v>
      </c>
      <c r="E31" s="3">
        <v>0.5</v>
      </c>
      <c r="G31" s="17"/>
    </row>
    <row r="32" spans="1:7" x14ac:dyDescent="0.5">
      <c r="A32" s="14"/>
      <c r="B32" s="15"/>
      <c r="C32" s="2" t="s">
        <v>724</v>
      </c>
      <c r="D32" s="3" t="s">
        <v>762</v>
      </c>
      <c r="E32" s="3">
        <v>0.5</v>
      </c>
      <c r="G32" s="17"/>
    </row>
    <row r="33" spans="1:7" x14ac:dyDescent="0.5">
      <c r="A33" s="14"/>
      <c r="B33" s="15"/>
      <c r="C33" s="2" t="s">
        <v>97</v>
      </c>
      <c r="D33" s="3" t="s">
        <v>106</v>
      </c>
      <c r="E33" s="3">
        <v>0.5</v>
      </c>
      <c r="G33" s="17"/>
    </row>
    <row r="34" spans="1:7" x14ac:dyDescent="0.5">
      <c r="A34" s="14"/>
      <c r="B34" s="15"/>
      <c r="C34" s="2" t="s">
        <v>725</v>
      </c>
      <c r="D34" s="3" t="s">
        <v>763</v>
      </c>
      <c r="E34" s="3">
        <v>0.5</v>
      </c>
      <c r="G34" s="17"/>
    </row>
    <row r="35" spans="1:7" x14ac:dyDescent="0.5">
      <c r="A35" s="14" t="s">
        <v>19</v>
      </c>
      <c r="B35" s="15" t="str">
        <f>IF($C$1=4,_xlfn.XLOOKUP(A35,'Study Work Sequence Chart '!$B$2:$B$15,'Study Work Sequence Chart '!$C$2:$C$15),_xlfn.XLOOKUP(A35,'Study Work Sequence Chart '!$B$16:$B$29,'Study Work Sequence Chart '!$C$16:$C$29))</f>
        <v>Fall 29</v>
      </c>
      <c r="C35" s="2" t="s">
        <v>726</v>
      </c>
      <c r="D35" s="3" t="s">
        <v>764</v>
      </c>
      <c r="E35" s="3">
        <v>0.5</v>
      </c>
      <c r="G35" s="17"/>
    </row>
    <row r="36" spans="1:7" x14ac:dyDescent="0.5">
      <c r="A36" s="14"/>
      <c r="B36" s="15"/>
      <c r="C36" s="2" t="s">
        <v>727</v>
      </c>
      <c r="D36" s="3" t="s">
        <v>765</v>
      </c>
      <c r="E36" s="3">
        <v>0.5</v>
      </c>
      <c r="G36" s="17"/>
    </row>
    <row r="37" spans="1:7" x14ac:dyDescent="0.5">
      <c r="A37" s="14"/>
      <c r="B37" s="15"/>
      <c r="C37" s="2" t="s">
        <v>728</v>
      </c>
      <c r="D37" s="3" t="s">
        <v>766</v>
      </c>
      <c r="E37" s="3">
        <v>0.5</v>
      </c>
      <c r="G37" s="17"/>
    </row>
    <row r="38" spans="1:7" x14ac:dyDescent="0.5">
      <c r="A38" s="14"/>
      <c r="B38" s="15"/>
      <c r="C38" s="2" t="s">
        <v>729</v>
      </c>
      <c r="D38" s="3" t="s">
        <v>767</v>
      </c>
      <c r="E38" s="3">
        <v>0.5</v>
      </c>
      <c r="G38" s="17"/>
    </row>
    <row r="39" spans="1:7" x14ac:dyDescent="0.5">
      <c r="A39" s="14"/>
      <c r="B39" s="15"/>
      <c r="C39" s="2" t="s">
        <v>730</v>
      </c>
      <c r="D39" s="3" t="s">
        <v>768</v>
      </c>
      <c r="E39" s="3">
        <v>0.25</v>
      </c>
      <c r="G39" s="17"/>
    </row>
    <row r="40" spans="1:7" x14ac:dyDescent="0.5">
      <c r="A40" s="14"/>
      <c r="B40" s="15"/>
      <c r="C40" s="10" t="s">
        <v>619</v>
      </c>
      <c r="D40" s="3" t="str">
        <f>VLOOKUP(C40,'Elective Lists'!$B$2:$D$352, 2,FALSE)</f>
        <v xml:space="preserve"> Quality Management and Control </v>
      </c>
      <c r="E40" s="3">
        <f>VLOOKUP(C40,'Elective Lists'!$B$2:$D$352, 3,FALSE)</f>
        <v>0.5</v>
      </c>
      <c r="F40" s="3" t="str">
        <f>_xlfn.XLOOKUP(C40,'Elective Lists'!$B:$B,'Elective Lists'!$A:$A)</f>
        <v>List 2</v>
      </c>
      <c r="G40" s="17"/>
    </row>
    <row r="41" spans="1:7" x14ac:dyDescent="0.5">
      <c r="A41" s="14" t="s">
        <v>20</v>
      </c>
      <c r="B41" s="15" t="str">
        <f>IF($C$1=4,_xlfn.XLOOKUP(A41,'Study Work Sequence Chart '!$B$2:$B$15,'Study Work Sequence Chart '!$C$2:$C$15),_xlfn.XLOOKUP(A41,'Study Work Sequence Chart '!$B$16:$B$29,'Study Work Sequence Chart '!$C$16:$C$29))</f>
        <v>Fall 30</v>
      </c>
      <c r="C41" s="2" t="s">
        <v>731</v>
      </c>
      <c r="D41" s="3" t="s">
        <v>769</v>
      </c>
      <c r="E41" s="3">
        <v>0.13</v>
      </c>
      <c r="G41" s="17"/>
    </row>
    <row r="42" spans="1:7" x14ac:dyDescent="0.5">
      <c r="A42" s="14"/>
      <c r="B42" s="15"/>
      <c r="C42" s="2" t="s">
        <v>732</v>
      </c>
      <c r="D42" s="3" t="s">
        <v>770</v>
      </c>
      <c r="E42" s="3">
        <v>0.5</v>
      </c>
      <c r="G42" s="17"/>
    </row>
    <row r="43" spans="1:7" x14ac:dyDescent="0.5">
      <c r="A43" s="14"/>
      <c r="B43" s="15"/>
      <c r="C43" s="2" t="s">
        <v>733</v>
      </c>
      <c r="D43" s="3" t="s">
        <v>771</v>
      </c>
      <c r="E43" s="3">
        <v>0.5</v>
      </c>
      <c r="G43" s="17"/>
    </row>
    <row r="44" spans="1:7" x14ac:dyDescent="0.5">
      <c r="A44" s="14"/>
      <c r="B44" s="15"/>
      <c r="C44" s="10" t="s">
        <v>573</v>
      </c>
      <c r="D44" s="3" t="str">
        <f>VLOOKUP(C44,'Elective Lists'!$B$2:$D$352, 2,FALSE)</f>
        <v xml:space="preserve"> Group Design Project </v>
      </c>
      <c r="E44" s="3">
        <f>VLOOKUP(C44,'Elective Lists'!$B$2:$D$352, 3,FALSE)</f>
        <v>0.5</v>
      </c>
      <c r="G44" s="17"/>
    </row>
    <row r="45" spans="1:7" x14ac:dyDescent="0.5">
      <c r="A45" s="14"/>
      <c r="B45" s="15"/>
      <c r="C45" s="10" t="s">
        <v>26</v>
      </c>
      <c r="D45" s="3" t="str">
        <f>VLOOKUP(C45,'Elective Lists'!$B$2:$D$352, 2,FALSE)</f>
        <v xml:space="preserve"> Biomedical Engineering Ethics </v>
      </c>
      <c r="E45" s="3">
        <f>VLOOKUP(C45,'Elective Lists'!$B$2:$D$352, 3,FALSE)</f>
        <v>0.5</v>
      </c>
      <c r="F45" s="3" t="str">
        <f>_xlfn.XLOOKUP(C45,'Elective Lists'!$B:$B,'Elective Lists'!$A:$A)</f>
        <v>List A</v>
      </c>
      <c r="G45" s="17"/>
    </row>
    <row r="46" spans="1:7" x14ac:dyDescent="0.5">
      <c r="A46" s="14"/>
      <c r="B46" s="15"/>
      <c r="C46" s="3" t="s">
        <v>141</v>
      </c>
      <c r="D46" s="3" t="str">
        <f>VLOOKUP(C46,'Elective Lists'!$B$2:$D$352, 2,FALSE)</f>
        <v xml:space="preserve"> Sustainable Food: Localizing Food Systems </v>
      </c>
      <c r="E46" s="3">
        <f>VLOOKUP(C46,'Elective Lists'!$B$2:$D$352, 3,FALSE)</f>
        <v>0.5</v>
      </c>
      <c r="F46" s="3" t="str">
        <f>_xlfn.XLOOKUP(C46,'Elective Lists'!$B:$B,'Elective Lists'!$A:$A)</f>
        <v>List C</v>
      </c>
      <c r="G46" s="17"/>
    </row>
    <row r="47" spans="1:7" x14ac:dyDescent="0.5">
      <c r="A47" s="14" t="s">
        <v>21</v>
      </c>
      <c r="B47" s="15" t="str">
        <f>IF($C$1=4,_xlfn.XLOOKUP(A47,'Study Work Sequence Chart '!$B$2:$B$15,'Study Work Sequence Chart '!$C$2:$C$15),_xlfn.XLOOKUP(A47,'Study Work Sequence Chart '!$B$16:$B$29,'Study Work Sequence Chart '!$C$16:$C$29))</f>
        <v>Winter 31</v>
      </c>
      <c r="C47" s="2" t="s">
        <v>734</v>
      </c>
      <c r="D47" s="3" t="s">
        <v>772</v>
      </c>
      <c r="E47" s="3">
        <v>0.5</v>
      </c>
      <c r="G47" s="17"/>
    </row>
    <row r="48" spans="1:7" x14ac:dyDescent="0.5">
      <c r="A48" s="14"/>
      <c r="B48" s="15"/>
      <c r="C48" s="10" t="s">
        <v>575</v>
      </c>
      <c r="D48" s="3" t="str">
        <f>VLOOKUP(C48,'Elective Lists'!$B$2:$D$352, 2,FALSE)</f>
        <v xml:space="preserve"> Group Design Project and Symposium </v>
      </c>
      <c r="E48" s="3">
        <f>VLOOKUP(C48,'Elective Lists'!$B$2:$D$352, 3,FALSE)</f>
        <v>0.5</v>
      </c>
      <c r="G48" s="17"/>
    </row>
    <row r="49" spans="1:7" x14ac:dyDescent="0.5">
      <c r="A49" s="14"/>
      <c r="B49" s="15"/>
      <c r="C49" s="10" t="s">
        <v>587</v>
      </c>
      <c r="D49" s="3" t="str">
        <f>VLOOKUP(C49,'Elective Lists'!$B$2:$D$352, 2,FALSE)</f>
        <v xml:space="preserve"> Advanced Process Dynamics and Control </v>
      </c>
      <c r="E49" s="3">
        <f>VLOOKUP(C49,'Elective Lists'!$B$2:$D$352, 3,FALSE)</f>
        <v>0.5</v>
      </c>
      <c r="F49" s="3" t="str">
        <f>_xlfn.XLOOKUP(C49,'Elective Lists'!$B:$B,'Elective Lists'!$A:$A)</f>
        <v>List 1</v>
      </c>
      <c r="G49" s="17"/>
    </row>
    <row r="50" spans="1:7" x14ac:dyDescent="0.5">
      <c r="A50" s="14"/>
      <c r="B50" s="15"/>
      <c r="C50" s="3" t="s">
        <v>275</v>
      </c>
      <c r="D50" s="3" t="str">
        <f>VLOOKUP(C50,'Elective Lists'!$B$2:$D$352, 2,FALSE)</f>
        <v xml:space="preserve"> Writing Anti-Racism </v>
      </c>
      <c r="E50" s="3">
        <f>VLOOKUP(C50,'Elective Lists'!$B$2:$D$352, 3,FALSE)</f>
        <v>0.5</v>
      </c>
      <c r="F50" s="3" t="str">
        <f>_xlfn.XLOOKUP(C50,'Elective Lists'!$B:$B,'Elective Lists'!$A:$A)</f>
        <v>List D</v>
      </c>
      <c r="G50" s="17"/>
    </row>
    <row r="51" spans="1:7" ht="26.4" thickBot="1" x14ac:dyDescent="0.55000000000000004">
      <c r="A51" s="14"/>
      <c r="B51" s="15"/>
      <c r="C51" s="3" t="s">
        <v>614</v>
      </c>
      <c r="D51" s="3" t="str">
        <f>VLOOKUP(C51,'Elective Lists'!$B$2:$D$352, 2,FALSE)</f>
        <v xml:space="preserve"> Computational Fluid Dynamics for Engineering Design </v>
      </c>
      <c r="E51" s="3">
        <f>VLOOKUP(C51,'Elective Lists'!$B$2:$D$352, 3,FALSE)</f>
        <v>0.5</v>
      </c>
      <c r="F51" s="3" t="str">
        <f>_xlfn.XLOOKUP(C51,'Elective Lists'!$B:$B,'Elective Lists'!$A:$A)</f>
        <v>List 2</v>
      </c>
      <c r="G51" s="18"/>
    </row>
  </sheetData>
  <mergeCells count="22">
    <mergeCell ref="A23:A28"/>
    <mergeCell ref="G1:G51"/>
    <mergeCell ref="H1:I1"/>
    <mergeCell ref="H2:H3"/>
    <mergeCell ref="K2:K3"/>
    <mergeCell ref="H4:H7"/>
    <mergeCell ref="A47:A51"/>
    <mergeCell ref="B47:B51"/>
    <mergeCell ref="A1:B1"/>
    <mergeCell ref="A29:A34"/>
    <mergeCell ref="A41:A46"/>
    <mergeCell ref="A35:A40"/>
    <mergeCell ref="B16:B22"/>
    <mergeCell ref="B23:B28"/>
    <mergeCell ref="B29:B34"/>
    <mergeCell ref="B35:B40"/>
    <mergeCell ref="B41:B46"/>
    <mergeCell ref="A3:A8"/>
    <mergeCell ref="A9:A15"/>
    <mergeCell ref="B3:B8"/>
    <mergeCell ref="B9:B15"/>
    <mergeCell ref="A16:A22"/>
  </mergeCells>
  <conditionalFormatting sqref="K2:K3">
    <cfRule type="cellIs" dxfId="4" priority="14" stopIfTrue="1" operator="equal">
      <formula>"Not Enough TE"</formula>
    </cfRule>
    <cfRule type="cellIs" dxfId="3" priority="15" operator="equal">
      <formula>"Good"</formula>
    </cfRule>
  </conditionalFormatting>
  <conditionalFormatting sqref="K2:K7">
    <cfRule type="cellIs" dxfId="2" priority="10" operator="equal">
      <formula>"Good"</formula>
    </cfRule>
    <cfRule type="cellIs" dxfId="1" priority="11" operator="notEqual">
      <formula>"Good"</formula>
    </cfRule>
  </conditionalFormatting>
  <conditionalFormatting sqref="K4">
    <cfRule type="cellIs" dxfId="0" priority="13" stopIfTrue="1" operator="notEqual">
      <formula>"Good"</formula>
    </cfRule>
  </conditionalFormatting>
  <hyperlinks>
    <hyperlink ref="C3" r:id="rId1" location="/courses/view/65cb8c01429c1710c28d8480" display="https://uwaterloo.ca/academic-calendar/undergraduate-studies/catalog - /courses/view/65cb8c01429c1710c28d8480" xr:uid="{3F9D1996-11BA-D042-B938-50EA6DAE97FD}"/>
    <hyperlink ref="C4" r:id="rId2" location="/courses/view/65cb8c253cb0dd422f9288ab" display="https://uwaterloo.ca/academic-calendar/undergraduate-studies/catalog - /courses/view/65cb8c253cb0dd422f9288ab" xr:uid="{3D54AA82-8A27-9640-AB09-6F72B19ACBA8}"/>
    <hyperlink ref="C5" r:id="rId3" location="/courses/view/66d9de036a6e2eae6463ae38" display="https://uwaterloo.ca/academic-calendar/undergraduate-studies/catalog - /courses/view/66d9de036a6e2eae6463ae38" xr:uid="{B79F94D1-3898-754D-9ACD-A5F17C084718}"/>
    <hyperlink ref="C6" r:id="rId4" location="/courses/view/689f7c745e3de158ebac2094" display="https://uwaterloo.ca/academic-calendar/undergraduate-studies/catalog - /courses/view/689f7c745e3de158ebac2094" xr:uid="{B6C400CF-D0FB-FA4A-8DDD-C54FEC7AC172}"/>
    <hyperlink ref="C7" r:id="rId5" location="/courses/view/65b90628b44f43033f69e76a" display="https://uwaterloo.ca/academic-calendar/undergraduate-studies/catalog - /courses/view/65b90628b44f43033f69e76a" xr:uid="{25FCA47B-E4DB-924E-B719-89C50E1C7A8A}"/>
    <hyperlink ref="C8" r:id="rId6" location="/courses/view/65b9067d6cd589bd51e9048f" display="https://uwaterloo.ca/academic-calendar/undergraduate-studies/catalog - /courses/view/65b9067d6cd589bd51e9048f" xr:uid="{D6C9758C-3FBE-7C49-8ACA-BE1DE3865C08}"/>
    <hyperlink ref="C9" r:id="rId7" location="/courses/view/67cf3852f6e74fc849fd4b88" display="https://uwaterloo.ca/academic-calendar/undergraduate-studies/catalog - /courses/view/67cf3852f6e74fc849fd4b88" xr:uid="{1602B3C2-9AD6-FB43-9D0D-A7FC998A0421}"/>
    <hyperlink ref="C10" r:id="rId8" location="/courses/view/65b71a825f4404d426f28c1c" display="https://uwaterloo.ca/academic-calendar/undergraduate-studies/catalog - /courses/view/65b71a825f4404d426f28c1c" xr:uid="{F6BFC67B-A893-0848-9278-452C6ACD6409}"/>
    <hyperlink ref="C11" r:id="rId9" location="/courses/view/689f7d476e46caaa6b48127b" display="https://uwaterloo.ca/academic-calendar/undergraduate-studies/catalog - /courses/view/689f7d476e46caaa6b48127b" xr:uid="{D3DDDA3B-1E0E-8146-861A-CE6CF57A582C}"/>
    <hyperlink ref="C12" r:id="rId10" location="/courses/view/67cf3aece85540a083b18cd4" display="https://uwaterloo.ca/academic-calendar/undergraduate-studies/catalog - /courses/view/67cf3aece85540a083b18cd4" xr:uid="{BDF93A44-179E-4348-8D94-11513BC5F180}"/>
    <hyperlink ref="C13" r:id="rId11" location="/courses/view/65b907a1fd7afe0d11087558" display="https://uwaterloo.ca/academic-calendar/undergraduate-studies/catalog - /courses/view/65b907a1fd7afe0d11087558" xr:uid="{61AD8D84-0210-5B4C-8E4C-79912D850BB8}"/>
    <hyperlink ref="C14" r:id="rId12" location="/courses/view/65b995bc5c94795c1ce57325" display="https://uwaterloo.ca/academic-calendar/undergraduate-studies/catalog - /courses/view/65b995bc5c94795c1ce57325" xr:uid="{14281C56-DB2B-134B-9284-4315D9B52C51}"/>
    <hyperlink ref="C16" r:id="rId13" location="/courses/view/65cb9f5d3cb0dd2156928916" display="https://uwaterloo.ca/academic-calendar/undergraduate-studies/catalog - /courses/view/65cb9f5d3cb0dd2156928916" xr:uid="{6E7903C2-4880-914E-A00B-942CED853C53}"/>
    <hyperlink ref="C17" r:id="rId14" location="/courses/view/67cf43e7f6e74fc849fd7101" display="https://uwaterloo.ca/academic-calendar/undergraduate-studies/catalog - /courses/view/67cf43e7f6e74fc849fd7101" xr:uid="{73C0F1E6-0587-F145-805D-A12859DD0943}"/>
    <hyperlink ref="C18" r:id="rId15" location="/courses/view/65cb9fc5dc755c668d1fb37d" display="https://uwaterloo.ca/academic-calendar/undergraduate-studies/catalog - /courses/view/65cb9fc5dc755c668d1fb37d" xr:uid="{62588014-F0BD-DC43-A03D-5C2B794106B0}"/>
    <hyperlink ref="C19" r:id="rId16" location="/courses/view/681e50c03ed0f4bff5d15863" display="https://uwaterloo.ca/academic-calendar/undergraduate-studies/catalog - /courses/view/681e50c03ed0f4bff5d15863" xr:uid="{EC0C47D3-2EF1-1440-9E53-A40FAA0926CA}"/>
    <hyperlink ref="C20" r:id="rId17" location="/courses/view/661e8acef9d2cd72c8335502" display="https://uwaterloo.ca/academic-calendar/undergraduate-studies/catalog - /courses/view/661e8acef9d2cd72c8335502" xr:uid="{79522D85-8B96-6F4E-BFF1-A6902FECA0B4}"/>
    <hyperlink ref="C21" r:id="rId18" location="/courses/view/65e778e8187f5eed5f91e4c6" display="https://uwaterloo.ca/academic-calendar/undergraduate-studies/catalog - /courses/view/65e778e8187f5eed5f91e4c6" xr:uid="{40DE0EFC-478C-154C-A9E6-4F92843E946B}"/>
    <hyperlink ref="C22" r:id="rId19" location="/courses/view/69a1c1dc5e731ab59965693d" display="https://uwaterloo.ca/academic-calendar/undergraduate-studies/catalog - /courses/view/69a1c1dc5e731ab59965693d" xr:uid="{AF8BD2DC-3E4B-E847-B05D-FE522C698BA3}"/>
    <hyperlink ref="C23" r:id="rId20" location="/courses/view/65cb9f83501877f62651073a" display="https://uwaterloo.ca/academic-calendar/undergraduate-studies/catalog - /courses/view/65cb9f83501877f62651073a" xr:uid="{FB6A9EE9-8C50-6941-A63E-587608FB8E34}"/>
    <hyperlink ref="C24" r:id="rId21" location="/courses/view/67cf42c6d8d48c4e8a534114" display="https://uwaterloo.ca/academic-calendar/undergraduate-studies/catalog - /courses/view/67cf42c6d8d48c4e8a534114" xr:uid="{26841550-6387-3F46-84E2-EF1AD6D682AB}"/>
    <hyperlink ref="C25" r:id="rId22" location="/courses/view/67e6df8381d1fc02847113b5" display="https://uwaterloo.ca/academic-calendar/undergraduate-studies/catalog - /courses/view/67e6df8381d1fc02847113b5" xr:uid="{10A0D8F1-0279-3747-82C4-7E8764096186}"/>
    <hyperlink ref="C26" r:id="rId23" location="/courses/view/681e51c3739fa55516cada77" display="https://uwaterloo.ca/academic-calendar/undergraduate-studies/catalog - /courses/view/681e51c3739fa55516cada77" xr:uid="{C694AF95-17B4-C448-8E81-68478849BF13}"/>
    <hyperlink ref="C27" r:id="rId24" location="/courses/view/69a1cf900cc3a4f01d8aaa61" display="https://uwaterloo.ca/academic-calendar/undergraduate-studies/catalog - /courses/view/69a1cf900cc3a4f01d8aaa61" xr:uid="{C79A30D0-96FE-FC48-B3F5-45BD876E14A6}"/>
    <hyperlink ref="C29" r:id="rId25" location="/courses/view/65cba053ce9eec22afd28bc1" display="https://uwaterloo.ca/academic-calendar/undergraduate-studies/catalog - /courses/view/65cba053ce9eec22afd28bc1" xr:uid="{E984C5D9-02D5-EE41-8FF6-FD77AC69FE8D}"/>
    <hyperlink ref="C30" r:id="rId26" location="/courses/view/65cba080cd2beb809be74d51" display="https://uwaterloo.ca/academic-calendar/undergraduate-studies/catalog - /courses/view/65cba080cd2beb809be74d51" xr:uid="{0098D64B-2DE6-104A-8ED0-B018BB6211CF}"/>
    <hyperlink ref="C31" r:id="rId27" location="/courses/view/65cba0b2ce9eec34edd28bd9" display="https://uwaterloo.ca/academic-calendar/undergraduate-studies/catalog - /courses/view/65cba0b2ce9eec34edd28bd9" xr:uid="{BCD408C0-680B-F143-8EC0-62E99CDA9DD0}"/>
    <hyperlink ref="C32" r:id="rId28" location="/courses/view/65cba0cc1a5d976d6c702eeb" display="https://uwaterloo.ca/academic-calendar/undergraduate-studies/catalog - /courses/view/65cba0cc1a5d976d6c702eeb" xr:uid="{6753BB2E-44AB-E04A-AB64-AC0A08FA1374}"/>
    <hyperlink ref="C33" r:id="rId29" location="/courses/view/689f7255f4a095c899cf788e" display="https://uwaterloo.ca/academic-calendar/undergraduate-studies/catalog - /courses/view/689f7255f4a095c899cf788e" xr:uid="{095EF308-3072-6F49-882C-E132B592B79B}"/>
    <hyperlink ref="C34" r:id="rId30" location="/courses/view/681e52f73ed0f4bff5d162fe" display="https://uwaterloo.ca/academic-calendar/undergraduate-studies/catalog - /courses/view/681e52f73ed0f4bff5d162fe" xr:uid="{98CDCEE7-4EA9-C94C-84E1-6DC084B0995C}"/>
    <hyperlink ref="C35" r:id="rId31" location="/courses/view/65cba06a13b3862cf78e95c8" display="https://uwaterloo.ca/academic-calendar/undergraduate-studies/catalog - /courses/view/65cba06a13b3862cf78e95c8" xr:uid="{8BED59DC-8541-B24A-9677-5766588D5E65}"/>
    <hyperlink ref="C36" r:id="rId32" location="/courses/view/65cba0eb1a5d9712be702eed" display="https://uwaterloo.ca/academic-calendar/undergraduate-studies/catalog - /courses/view/65cba0eb1a5d9712be702eed" xr:uid="{BA68EBFB-B3E2-5E4E-8F9C-784A59B8DA75}"/>
    <hyperlink ref="C37" r:id="rId33" location="/courses/view/65cba104481f46def081a3ec" display="https://uwaterloo.ca/academic-calendar/undergraduate-studies/catalog - /courses/view/65cba104481f46def081a3ec" xr:uid="{31807BB6-ACEC-8340-8313-C904F28A261D}"/>
    <hyperlink ref="C38" r:id="rId34" location="/courses/view/65cba11c13b3860a5c8e95d3" display="https://uwaterloo.ca/academic-calendar/undergraduate-studies/catalog - /courses/view/65cba11c13b3860a5c8e95d3" xr:uid="{99574B99-AB23-F64F-A57B-76F7EE61054A}"/>
    <hyperlink ref="C39" r:id="rId35" location="/courses/view/65cba14c13b3866caa8e95d6" display="https://uwaterloo.ca/academic-calendar/undergraduate-studies/catalog - /courses/view/65cba14c13b3866caa8e95d6" xr:uid="{14BCA015-7BA5-404A-A8BB-F3379811E3DA}"/>
    <hyperlink ref="C41" r:id="rId36" location="/courses/view/65cbae08ce9eec16acd28c3a" display="https://uwaterloo.ca/academic-calendar/undergraduate-studies/catalog - /courses/view/65cbae08ce9eec16acd28c3a" xr:uid="{AFED110D-8407-3E41-8DEF-33307483A98D}"/>
    <hyperlink ref="C42" r:id="rId37" location="/courses/view/65cbae351a5d97d7fd702f2d" display="https://uwaterloo.ca/academic-calendar/undergraduate-studies/catalog - /courses/view/65cbae351a5d97d7fd702f2d" xr:uid="{794DAF33-DE59-1F4E-BBAC-73A7F53607B8}"/>
    <hyperlink ref="C43" r:id="rId38" location="/courses/view/681e52ac3ed0f4bff5d1605c" display="https://uwaterloo.ca/academic-calendar/undergraduate-studies/catalog - /courses/view/681e52ac3ed0f4bff5d1605c" xr:uid="{DB5E64E9-6588-2F44-BFC6-E97879FF490E}"/>
    <hyperlink ref="C47" r:id="rId39" location="/courses/view/681e5354a925ea1de7007b00" display="https://uwaterloo.ca/academic-calendar/undergraduate-studies/catalog - /courses/view/681e5354a925ea1de7007b00" xr:uid="{FB877AA7-2366-AA44-8F86-5239DE7D10C4}"/>
  </hyperlinks>
  <pageMargins left="0.7" right="0.7" top="0.75" bottom="0.75" header="0.3" footer="0.3"/>
  <pageSetup paperSize="9" orientation="portrait" horizontalDpi="300" verticalDpi="300" r:id="rId40"/>
  <ignoredErrors>
    <ignoredError sqref="K2" evalError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0405BD57-B340-4229-94E0-111E368173F9}">
            <xm:f>COUNTIF('Elective Lists'!$B$2:$B$3,$C$15)=0</xm:f>
            <x14:dxf>
              <font>
                <color rgb="FFC0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6" id="{9025F413-F2C8-4C1B-BEA6-CC6EDB555546}">
            <xm:f>COUNTIF('Elective Lists'!$B$2:$B$3,$C$15)&gt;0</xm:f>
            <x14:dxf>
              <font>
                <color theme="9" tint="-0.499984740745262"/>
              </font>
              <fill>
                <patternFill>
                  <bgColor theme="9" tint="0.59996337778862885"/>
                </patternFill>
              </fill>
            </x14:dxf>
          </x14:cfRule>
          <xm:sqref>C15</xm:sqref>
        </x14:conditionalFormatting>
        <x14:conditionalFormatting xmlns:xm="http://schemas.microsoft.com/office/excel/2006/main">
          <x14:cfRule type="expression" priority="3" id="{9C227FA3-9069-4BB5-9BCA-0DF304C21AA2}">
            <xm:f>COUNTIF('Elective Lists'!$B$4:$B$5,$C$44)=0</xm:f>
            <x14:dxf>
              <font>
                <color rgb="FFC0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4" id="{BC581561-BFC3-4298-80EC-359CEE8F0218}">
            <xm:f>COUNTIF('Elective Lists'!$B$4:$B$5,$C$44)&gt;0</xm:f>
            <x14:dxf>
              <font>
                <color theme="9" tint="-0.499984740745262"/>
              </font>
              <fill>
                <patternFill>
                  <bgColor theme="9" tint="0.59996337778862885"/>
                </patternFill>
              </fill>
            </x14:dxf>
          </x14:cfRule>
          <xm:sqref>C44</xm:sqref>
        </x14:conditionalFormatting>
        <x14:conditionalFormatting xmlns:xm="http://schemas.microsoft.com/office/excel/2006/main">
          <x14:cfRule type="expression" priority="1" id="{BAE451FD-F143-45D0-954F-B579774C7BF1}">
            <xm:f>COUNTIF('Elective Lists'!$B$6:$B$7,$C$48)=0</xm:f>
            <x14:dxf>
              <font>
                <color rgb="FFC00000"/>
              </font>
              <fill>
                <patternFill>
                  <bgColor theme="5" tint="0.59996337778862885"/>
                </patternFill>
              </fill>
            </x14:dxf>
          </x14:cfRule>
          <x14:cfRule type="expression" priority="2" id="{B3BE4AEE-606E-4EAA-9F67-9EA47C4D1C92}">
            <xm:f>COUNTIF('Elective Lists'!$B$6:$B$7,$C$48)&gt;0</xm:f>
            <x14:dxf>
              <font>
                <color theme="9" tint="-0.499984740745262"/>
              </font>
              <fill>
                <patternFill>
                  <bgColor theme="9" tint="0.59996337778862885"/>
                </patternFill>
              </fill>
            </x14:dxf>
          </x14:cfRule>
          <xm:sqref>C48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E450080-383B-4B08-8470-D1DBAC8A47BA}">
          <x14:formula1>
            <xm:f>'Elective Lists'!$B:$B</xm:f>
          </x14:formula1>
          <xm:sqref>G45:XFD45 F15:XFD15 G49:XFD49 G44:XFD44 G28:XFD28 G46:XFD46 G50:XFD50 G48:XFD48 G40:XFD40 A15:B15 A44:B44 A48:B48 D15 A28:C28 A40:C40 A45:C45 A46:C46 A49:C49 A50:C50 A51:C51 G51:XFD51</xm:sqref>
        </x14:dataValidation>
        <x14:dataValidation type="list" allowBlank="1" showInputMessage="1" showErrorMessage="1" xr:uid="{A2F98FB1-AD95-45D0-8A91-C33EC2A3A389}">
          <x14:formula1>
            <xm:f>'Elective Lists'!$B$2:$B$3</xm:f>
          </x14:formula1>
          <xm:sqref>C15</xm:sqref>
        </x14:dataValidation>
        <x14:dataValidation type="list" allowBlank="1" showInputMessage="1" showErrorMessage="1" xr:uid="{1503BB59-566A-4734-838C-7B593BB0860A}">
          <x14:formula1>
            <xm:f>'Elective Lists'!$B$4:$B$5</xm:f>
          </x14:formula1>
          <xm:sqref>C44</xm:sqref>
        </x14:dataValidation>
        <x14:dataValidation type="list" allowBlank="1" showInputMessage="1" showErrorMessage="1" xr:uid="{EA61857D-A44C-471D-9C49-D63E4910EFF4}">
          <x14:formula1>
            <xm:f>'Elective Lists'!$B$6:$B$7</xm:f>
          </x14:formula1>
          <xm:sqref>C48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F8C5-8257-4C45-AB46-730E7CDD49C6}">
  <dimension ref="A1:D352"/>
  <sheetViews>
    <sheetView topLeftCell="A38" zoomScale="65" workbookViewId="0">
      <selection activeCell="B3" sqref="B3"/>
    </sheetView>
  </sheetViews>
  <sheetFormatPr defaultColWidth="11" defaultRowHeight="15.6" x14ac:dyDescent="0.3"/>
  <cols>
    <col min="1" max="1" width="25" customWidth="1"/>
    <col min="2" max="2" width="26.69921875" customWidth="1"/>
    <col min="3" max="3" width="123" customWidth="1"/>
    <col min="4" max="4" width="24.296875" customWidth="1"/>
  </cols>
  <sheetData>
    <row r="1" spans="1:4" ht="28.8" x14ac:dyDescent="0.3">
      <c r="A1" s="4" t="s">
        <v>673</v>
      </c>
      <c r="B1" s="4" t="s">
        <v>674</v>
      </c>
      <c r="C1" s="4" t="s">
        <v>675</v>
      </c>
      <c r="D1" s="4" t="s">
        <v>676</v>
      </c>
    </row>
    <row r="2" spans="1:4" ht="25.8" x14ac:dyDescent="0.5">
      <c r="A2" s="21" t="s">
        <v>15</v>
      </c>
      <c r="B2" s="2" t="s">
        <v>571</v>
      </c>
      <c r="C2" s="3" t="s">
        <v>672</v>
      </c>
      <c r="D2" s="3">
        <v>0.5</v>
      </c>
    </row>
    <row r="3" spans="1:4" ht="25.8" x14ac:dyDescent="0.5">
      <c r="A3" s="22"/>
      <c r="B3" s="2" t="s">
        <v>572</v>
      </c>
      <c r="C3" s="3" t="s">
        <v>672</v>
      </c>
      <c r="D3" s="3">
        <v>0.5</v>
      </c>
    </row>
    <row r="4" spans="1:4" ht="25.8" x14ac:dyDescent="0.5">
      <c r="A4" s="21" t="s">
        <v>20</v>
      </c>
      <c r="B4" s="2" t="s">
        <v>573</v>
      </c>
      <c r="C4" s="3" t="s">
        <v>623</v>
      </c>
      <c r="D4" s="3">
        <v>0.5</v>
      </c>
    </row>
    <row r="5" spans="1:4" ht="25.8" x14ac:dyDescent="0.5">
      <c r="A5" s="22"/>
      <c r="B5" s="2" t="s">
        <v>574</v>
      </c>
      <c r="C5" s="3" t="s">
        <v>624</v>
      </c>
      <c r="D5" s="3">
        <v>0.5</v>
      </c>
    </row>
    <row r="6" spans="1:4" ht="25.8" x14ac:dyDescent="0.5">
      <c r="A6" s="21" t="s">
        <v>21</v>
      </c>
      <c r="B6" s="2" t="s">
        <v>575</v>
      </c>
      <c r="C6" s="3" t="s">
        <v>625</v>
      </c>
      <c r="D6" s="3">
        <v>0.5</v>
      </c>
    </row>
    <row r="7" spans="1:4" ht="25.8" x14ac:dyDescent="0.5">
      <c r="A7" s="22"/>
      <c r="B7" s="2" t="s">
        <v>576</v>
      </c>
      <c r="C7" s="3" t="s">
        <v>626</v>
      </c>
      <c r="D7" s="3">
        <v>0.5</v>
      </c>
    </row>
    <row r="8" spans="1:4" ht="25.8" x14ac:dyDescent="0.5">
      <c r="A8" s="23" t="s">
        <v>568</v>
      </c>
      <c r="B8" s="2" t="s">
        <v>577</v>
      </c>
      <c r="C8" s="3" t="s">
        <v>627</v>
      </c>
      <c r="D8" s="3">
        <v>0.5</v>
      </c>
    </row>
    <row r="9" spans="1:4" ht="25.8" x14ac:dyDescent="0.5">
      <c r="A9" s="24"/>
      <c r="B9" s="2" t="s">
        <v>578</v>
      </c>
      <c r="C9" s="3" t="s">
        <v>628</v>
      </c>
      <c r="D9" s="3">
        <v>0.5</v>
      </c>
    </row>
    <row r="10" spans="1:4" ht="25.8" x14ac:dyDescent="0.5">
      <c r="A10" s="24"/>
      <c r="B10" s="2" t="s">
        <v>579</v>
      </c>
      <c r="C10" s="3" t="s">
        <v>627</v>
      </c>
      <c r="D10" s="3">
        <v>0.5</v>
      </c>
    </row>
    <row r="11" spans="1:4" ht="25.8" x14ac:dyDescent="0.5">
      <c r="A11" s="24"/>
      <c r="B11" s="2" t="s">
        <v>580</v>
      </c>
      <c r="C11" s="3" t="s">
        <v>629</v>
      </c>
      <c r="D11" s="3">
        <v>0.5</v>
      </c>
    </row>
    <row r="12" spans="1:4" ht="25.8" x14ac:dyDescent="0.5">
      <c r="A12" s="24"/>
      <c r="B12" s="2" t="s">
        <v>581</v>
      </c>
      <c r="C12" s="3" t="s">
        <v>630</v>
      </c>
      <c r="D12" s="3">
        <v>0.5</v>
      </c>
    </row>
    <row r="13" spans="1:4" ht="25.95" customHeight="1" x14ac:dyDescent="0.5">
      <c r="A13" s="12" t="s">
        <v>569</v>
      </c>
      <c r="B13" s="2" t="s">
        <v>582</v>
      </c>
      <c r="C13" s="3" t="s">
        <v>631</v>
      </c>
      <c r="D13" s="3">
        <v>0.5</v>
      </c>
    </row>
    <row r="14" spans="1:4" ht="33" x14ac:dyDescent="0.5">
      <c r="A14" s="12" t="s">
        <v>569</v>
      </c>
      <c r="B14" s="2" t="s">
        <v>583</v>
      </c>
      <c r="C14" s="3" t="s">
        <v>632</v>
      </c>
      <c r="D14" s="3">
        <v>0.5</v>
      </c>
    </row>
    <row r="15" spans="1:4" ht="33" x14ac:dyDescent="0.5">
      <c r="A15" s="12" t="s">
        <v>569</v>
      </c>
      <c r="B15" s="2" t="s">
        <v>584</v>
      </c>
      <c r="C15" s="3" t="s">
        <v>633</v>
      </c>
      <c r="D15" s="3">
        <v>0.5</v>
      </c>
    </row>
    <row r="16" spans="1:4" ht="33" x14ac:dyDescent="0.5">
      <c r="A16" s="12" t="s">
        <v>569</v>
      </c>
      <c r="B16" s="2" t="s">
        <v>585</v>
      </c>
      <c r="C16" s="3" t="s">
        <v>634</v>
      </c>
      <c r="D16" s="3">
        <v>0.5</v>
      </c>
    </row>
    <row r="17" spans="1:4" ht="33" x14ac:dyDescent="0.5">
      <c r="A17" s="12" t="s">
        <v>569</v>
      </c>
      <c r="B17" s="2" t="s">
        <v>586</v>
      </c>
      <c r="C17" s="3" t="s">
        <v>635</v>
      </c>
      <c r="D17" s="3">
        <v>0.5</v>
      </c>
    </row>
    <row r="18" spans="1:4" ht="33" x14ac:dyDescent="0.5">
      <c r="A18" s="12" t="s">
        <v>569</v>
      </c>
      <c r="B18" s="2" t="s">
        <v>587</v>
      </c>
      <c r="C18" s="3" t="s">
        <v>636</v>
      </c>
      <c r="D18" s="3">
        <v>0.5</v>
      </c>
    </row>
    <row r="19" spans="1:4" ht="33" x14ac:dyDescent="0.5">
      <c r="A19" s="12" t="s">
        <v>569</v>
      </c>
      <c r="B19" s="2" t="s">
        <v>588</v>
      </c>
      <c r="C19" s="3" t="s">
        <v>637</v>
      </c>
      <c r="D19" s="3">
        <v>0.5</v>
      </c>
    </row>
    <row r="20" spans="1:4" ht="33" x14ac:dyDescent="0.5">
      <c r="A20" s="12" t="s">
        <v>569</v>
      </c>
      <c r="B20" s="2" t="s">
        <v>589</v>
      </c>
      <c r="C20" s="3" t="s">
        <v>638</v>
      </c>
      <c r="D20" s="3">
        <v>0.5</v>
      </c>
    </row>
    <row r="21" spans="1:4" ht="33" x14ac:dyDescent="0.5">
      <c r="A21" s="12" t="s">
        <v>569</v>
      </c>
      <c r="B21" s="2" t="s">
        <v>590</v>
      </c>
      <c r="C21" s="3" t="s">
        <v>639</v>
      </c>
      <c r="D21" s="3">
        <v>0.5</v>
      </c>
    </row>
    <row r="22" spans="1:4" ht="33" x14ac:dyDescent="0.5">
      <c r="A22" s="12" t="s">
        <v>569</v>
      </c>
      <c r="B22" s="2" t="s">
        <v>591</v>
      </c>
      <c r="C22" s="3" t="s">
        <v>640</v>
      </c>
      <c r="D22" s="3">
        <v>0.5</v>
      </c>
    </row>
    <row r="23" spans="1:4" ht="33" x14ac:dyDescent="0.5">
      <c r="A23" s="12" t="s">
        <v>569</v>
      </c>
      <c r="B23" s="2" t="s">
        <v>592</v>
      </c>
      <c r="C23" s="3" t="s">
        <v>641</v>
      </c>
      <c r="D23" s="3">
        <v>0.5</v>
      </c>
    </row>
    <row r="24" spans="1:4" ht="33" x14ac:dyDescent="0.5">
      <c r="A24" s="12" t="s">
        <v>569</v>
      </c>
      <c r="B24" s="2" t="s">
        <v>593</v>
      </c>
      <c r="C24" s="3" t="s">
        <v>642</v>
      </c>
      <c r="D24" s="3">
        <v>0.5</v>
      </c>
    </row>
    <row r="25" spans="1:4" ht="33" x14ac:dyDescent="0.5">
      <c r="A25" s="12" t="s">
        <v>569</v>
      </c>
      <c r="B25" s="2" t="s">
        <v>594</v>
      </c>
      <c r="C25" s="3" t="s">
        <v>643</v>
      </c>
      <c r="D25" s="3">
        <v>0.5</v>
      </c>
    </row>
    <row r="26" spans="1:4" ht="33" x14ac:dyDescent="0.5">
      <c r="A26" s="12" t="s">
        <v>569</v>
      </c>
      <c r="B26" s="2" t="s">
        <v>595</v>
      </c>
      <c r="C26" s="3" t="s">
        <v>644</v>
      </c>
      <c r="D26" s="3">
        <v>0.5</v>
      </c>
    </row>
    <row r="27" spans="1:4" ht="33" x14ac:dyDescent="0.5">
      <c r="A27" s="12" t="s">
        <v>569</v>
      </c>
      <c r="B27" s="2" t="s">
        <v>596</v>
      </c>
      <c r="C27" s="3" t="s">
        <v>645</v>
      </c>
      <c r="D27" s="3">
        <v>0.5</v>
      </c>
    </row>
    <row r="28" spans="1:4" ht="33" x14ac:dyDescent="0.5">
      <c r="A28" s="12" t="s">
        <v>569</v>
      </c>
      <c r="B28" s="2" t="s">
        <v>597</v>
      </c>
      <c r="C28" s="3" t="s">
        <v>646</v>
      </c>
      <c r="D28" s="3">
        <v>0.5</v>
      </c>
    </row>
    <row r="29" spans="1:4" ht="33" x14ac:dyDescent="0.5">
      <c r="A29" s="12" t="s">
        <v>569</v>
      </c>
      <c r="B29" s="2" t="s">
        <v>598</v>
      </c>
      <c r="C29" s="3" t="s">
        <v>647</v>
      </c>
      <c r="D29" s="3">
        <v>0.5</v>
      </c>
    </row>
    <row r="30" spans="1:4" ht="33" x14ac:dyDescent="0.5">
      <c r="A30" s="12" t="s">
        <v>569</v>
      </c>
      <c r="B30" s="2" t="s">
        <v>599</v>
      </c>
      <c r="C30" s="3" t="s">
        <v>648</v>
      </c>
      <c r="D30" s="3">
        <v>0.5</v>
      </c>
    </row>
    <row r="31" spans="1:4" ht="25.95" customHeight="1" x14ac:dyDescent="0.5">
      <c r="A31" s="12" t="s">
        <v>570</v>
      </c>
      <c r="B31" s="2" t="s">
        <v>600</v>
      </c>
      <c r="C31" s="3" t="s">
        <v>649</v>
      </c>
      <c r="D31" s="3">
        <v>0.5</v>
      </c>
    </row>
    <row r="32" spans="1:4" ht="33" x14ac:dyDescent="0.5">
      <c r="A32" s="12" t="s">
        <v>570</v>
      </c>
      <c r="B32" s="2" t="s">
        <v>601</v>
      </c>
      <c r="C32" s="3" t="s">
        <v>650</v>
      </c>
      <c r="D32" s="3">
        <v>0.5</v>
      </c>
    </row>
    <row r="33" spans="1:4" ht="33" x14ac:dyDescent="0.5">
      <c r="A33" s="12" t="s">
        <v>570</v>
      </c>
      <c r="B33" s="2" t="s">
        <v>602</v>
      </c>
      <c r="C33" s="3" t="s">
        <v>651</v>
      </c>
      <c r="D33" s="3">
        <v>0.5</v>
      </c>
    </row>
    <row r="34" spans="1:4" ht="33" x14ac:dyDescent="0.5">
      <c r="A34" s="12" t="s">
        <v>570</v>
      </c>
      <c r="B34" s="2" t="s">
        <v>603</v>
      </c>
      <c r="C34" s="3" t="s">
        <v>652</v>
      </c>
      <c r="D34" s="3">
        <v>0.5</v>
      </c>
    </row>
    <row r="35" spans="1:4" ht="33" x14ac:dyDescent="0.5">
      <c r="A35" s="12" t="s">
        <v>570</v>
      </c>
      <c r="B35" s="2" t="s">
        <v>604</v>
      </c>
      <c r="C35" s="3" t="s">
        <v>653</v>
      </c>
      <c r="D35" s="3">
        <v>0.5</v>
      </c>
    </row>
    <row r="36" spans="1:4" ht="33" x14ac:dyDescent="0.5">
      <c r="A36" s="12" t="s">
        <v>570</v>
      </c>
      <c r="B36" s="2" t="s">
        <v>605</v>
      </c>
      <c r="C36" s="3" t="s">
        <v>654</v>
      </c>
      <c r="D36" s="3">
        <v>0.5</v>
      </c>
    </row>
    <row r="37" spans="1:4" ht="33" x14ac:dyDescent="0.5">
      <c r="A37" s="12" t="s">
        <v>570</v>
      </c>
      <c r="B37" s="2" t="s">
        <v>606</v>
      </c>
      <c r="C37" s="3" t="s">
        <v>655</v>
      </c>
      <c r="D37" s="3">
        <v>0.5</v>
      </c>
    </row>
    <row r="38" spans="1:4" ht="33" x14ac:dyDescent="0.5">
      <c r="A38" s="12" t="s">
        <v>570</v>
      </c>
      <c r="B38" s="2" t="s">
        <v>607</v>
      </c>
      <c r="C38" s="3" t="s">
        <v>656</v>
      </c>
      <c r="D38" s="3">
        <v>0.5</v>
      </c>
    </row>
    <row r="39" spans="1:4" ht="33" x14ac:dyDescent="0.5">
      <c r="A39" s="12" t="s">
        <v>570</v>
      </c>
      <c r="B39" s="2" t="s">
        <v>608</v>
      </c>
      <c r="C39" s="3" t="s">
        <v>657</v>
      </c>
      <c r="D39" s="3">
        <v>0.5</v>
      </c>
    </row>
    <row r="40" spans="1:4" ht="33" x14ac:dyDescent="0.5">
      <c r="A40" s="12" t="s">
        <v>570</v>
      </c>
      <c r="B40" s="2" t="s">
        <v>609</v>
      </c>
      <c r="C40" s="3" t="s">
        <v>658</v>
      </c>
      <c r="D40" s="3">
        <v>0.5</v>
      </c>
    </row>
    <row r="41" spans="1:4" ht="33" x14ac:dyDescent="0.5">
      <c r="A41" s="12" t="s">
        <v>570</v>
      </c>
      <c r="B41" s="2" t="s">
        <v>610</v>
      </c>
      <c r="C41" s="3" t="s">
        <v>659</v>
      </c>
      <c r="D41" s="3">
        <v>0.5</v>
      </c>
    </row>
    <row r="42" spans="1:4" ht="33" x14ac:dyDescent="0.5">
      <c r="A42" s="12" t="s">
        <v>570</v>
      </c>
      <c r="B42" s="2" t="s">
        <v>611</v>
      </c>
      <c r="C42" s="3" t="s">
        <v>660</v>
      </c>
      <c r="D42" s="3">
        <v>0.5</v>
      </c>
    </row>
    <row r="43" spans="1:4" ht="33" x14ac:dyDescent="0.5">
      <c r="A43" s="12" t="s">
        <v>570</v>
      </c>
      <c r="B43" s="2" t="s">
        <v>612</v>
      </c>
      <c r="C43" s="3" t="s">
        <v>661</v>
      </c>
      <c r="D43" s="3">
        <v>0.5</v>
      </c>
    </row>
    <row r="44" spans="1:4" ht="33" x14ac:dyDescent="0.5">
      <c r="A44" s="12" t="s">
        <v>570</v>
      </c>
      <c r="B44" s="2" t="s">
        <v>613</v>
      </c>
      <c r="C44" s="3" t="s">
        <v>662</v>
      </c>
      <c r="D44" s="3">
        <v>0.5</v>
      </c>
    </row>
    <row r="45" spans="1:4" ht="33" x14ac:dyDescent="0.5">
      <c r="A45" s="12" t="s">
        <v>570</v>
      </c>
      <c r="B45" s="2" t="s">
        <v>614</v>
      </c>
      <c r="C45" s="3" t="s">
        <v>663</v>
      </c>
      <c r="D45" s="3">
        <v>0.5</v>
      </c>
    </row>
    <row r="46" spans="1:4" ht="33" x14ac:dyDescent="0.5">
      <c r="A46" s="12" t="s">
        <v>570</v>
      </c>
      <c r="B46" s="2" t="s">
        <v>615</v>
      </c>
      <c r="C46" s="3" t="s">
        <v>664</v>
      </c>
      <c r="D46" s="3">
        <v>0.5</v>
      </c>
    </row>
    <row r="47" spans="1:4" ht="33" x14ac:dyDescent="0.5">
      <c r="A47" s="12" t="s">
        <v>570</v>
      </c>
      <c r="B47" s="2" t="s">
        <v>616</v>
      </c>
      <c r="C47" s="3" t="s">
        <v>665</v>
      </c>
      <c r="D47" s="3">
        <v>0.5</v>
      </c>
    </row>
    <row r="48" spans="1:4" ht="33" x14ac:dyDescent="0.5">
      <c r="A48" s="12" t="s">
        <v>570</v>
      </c>
      <c r="B48" s="2" t="s">
        <v>617</v>
      </c>
      <c r="C48" s="3" t="s">
        <v>666</v>
      </c>
      <c r="D48" s="3">
        <v>0.5</v>
      </c>
    </row>
    <row r="49" spans="1:4" ht="33" x14ac:dyDescent="0.5">
      <c r="A49" s="12" t="s">
        <v>570</v>
      </c>
      <c r="B49" s="2" t="s">
        <v>618</v>
      </c>
      <c r="C49" s="3" t="s">
        <v>667</v>
      </c>
      <c r="D49" s="3">
        <v>0.5</v>
      </c>
    </row>
    <row r="50" spans="1:4" ht="33" x14ac:dyDescent="0.5">
      <c r="A50" s="12" t="s">
        <v>570</v>
      </c>
      <c r="B50" s="2" t="s">
        <v>619</v>
      </c>
      <c r="C50" s="3" t="s">
        <v>668</v>
      </c>
      <c r="D50" s="3">
        <v>0.5</v>
      </c>
    </row>
    <row r="51" spans="1:4" ht="33" x14ac:dyDescent="0.5">
      <c r="A51" s="12" t="s">
        <v>570</v>
      </c>
      <c r="B51" s="2" t="s">
        <v>620</v>
      </c>
      <c r="C51" s="3" t="s">
        <v>669</v>
      </c>
      <c r="D51" s="3">
        <v>0.5</v>
      </c>
    </row>
    <row r="52" spans="1:4" ht="33" x14ac:dyDescent="0.5">
      <c r="A52" s="12" t="s">
        <v>570</v>
      </c>
      <c r="B52" s="2" t="s">
        <v>621</v>
      </c>
      <c r="C52" s="3" t="s">
        <v>670</v>
      </c>
      <c r="D52" s="3">
        <v>0.5</v>
      </c>
    </row>
    <row r="53" spans="1:4" ht="33" x14ac:dyDescent="0.5">
      <c r="A53" s="12" t="s">
        <v>570</v>
      </c>
      <c r="B53" s="2" t="s">
        <v>622</v>
      </c>
      <c r="C53" s="3" t="s">
        <v>671</v>
      </c>
      <c r="D53" s="3">
        <v>0.5</v>
      </c>
    </row>
    <row r="54" spans="1:4" ht="25.95" customHeight="1" x14ac:dyDescent="0.5">
      <c r="A54" s="12" t="s">
        <v>22</v>
      </c>
      <c r="B54" s="2" t="s">
        <v>23</v>
      </c>
      <c r="C54" s="3" t="s">
        <v>60</v>
      </c>
      <c r="D54" s="3">
        <v>0.5</v>
      </c>
    </row>
    <row r="55" spans="1:4" ht="33" x14ac:dyDescent="0.5">
      <c r="A55" s="12" t="s">
        <v>22</v>
      </c>
      <c r="B55" s="2" t="s">
        <v>24</v>
      </c>
      <c r="C55" s="3" t="s">
        <v>61</v>
      </c>
      <c r="D55" s="3">
        <v>0.5</v>
      </c>
    </row>
    <row r="56" spans="1:4" ht="33" x14ac:dyDescent="0.5">
      <c r="A56" s="12" t="s">
        <v>22</v>
      </c>
      <c r="B56" s="2" t="s">
        <v>25</v>
      </c>
      <c r="C56" s="3" t="s">
        <v>62</v>
      </c>
      <c r="D56" s="3">
        <v>0.5</v>
      </c>
    </row>
    <row r="57" spans="1:4" ht="33" x14ac:dyDescent="0.5">
      <c r="A57" s="12" t="s">
        <v>22</v>
      </c>
      <c r="B57" s="2" t="s">
        <v>26</v>
      </c>
      <c r="C57" s="3" t="s">
        <v>63</v>
      </c>
      <c r="D57" s="3">
        <v>0.5</v>
      </c>
    </row>
    <row r="58" spans="1:4" ht="33" x14ac:dyDescent="0.5">
      <c r="A58" s="12" t="s">
        <v>22</v>
      </c>
      <c r="B58" s="2" t="s">
        <v>27</v>
      </c>
      <c r="C58" s="3" t="s">
        <v>64</v>
      </c>
      <c r="D58" s="3">
        <v>0.5</v>
      </c>
    </row>
    <row r="59" spans="1:4" ht="33" x14ac:dyDescent="0.5">
      <c r="A59" s="12" t="s">
        <v>22</v>
      </c>
      <c r="B59" s="2" t="s">
        <v>28</v>
      </c>
      <c r="C59" s="3" t="s">
        <v>65</v>
      </c>
      <c r="D59" s="3">
        <v>0.5</v>
      </c>
    </row>
    <row r="60" spans="1:4" ht="33" x14ac:dyDescent="0.5">
      <c r="A60" s="12" t="s">
        <v>22</v>
      </c>
      <c r="B60" s="2" t="s">
        <v>29</v>
      </c>
      <c r="C60" s="3" t="s">
        <v>66</v>
      </c>
      <c r="D60" s="3">
        <v>0.5</v>
      </c>
    </row>
    <row r="61" spans="1:4" ht="33" x14ac:dyDescent="0.5">
      <c r="A61" s="12" t="s">
        <v>22</v>
      </c>
      <c r="B61" s="2" t="s">
        <v>30</v>
      </c>
      <c r="C61" s="3" t="s">
        <v>67</v>
      </c>
      <c r="D61" s="3">
        <v>0.5</v>
      </c>
    </row>
    <row r="62" spans="1:4" ht="33" x14ac:dyDescent="0.5">
      <c r="A62" s="12" t="s">
        <v>22</v>
      </c>
      <c r="B62" s="2" t="s">
        <v>31</v>
      </c>
      <c r="C62" s="3" t="s">
        <v>68</v>
      </c>
      <c r="D62" s="3">
        <v>0.5</v>
      </c>
    </row>
    <row r="63" spans="1:4" ht="33" x14ac:dyDescent="0.5">
      <c r="A63" s="12" t="s">
        <v>22</v>
      </c>
      <c r="B63" s="2" t="s">
        <v>32</v>
      </c>
      <c r="C63" s="3" t="s">
        <v>69</v>
      </c>
      <c r="D63" s="3">
        <v>0.5</v>
      </c>
    </row>
    <row r="64" spans="1:4" ht="33" x14ac:dyDescent="0.5">
      <c r="A64" s="12" t="s">
        <v>22</v>
      </c>
      <c r="B64" s="2" t="s">
        <v>33</v>
      </c>
      <c r="C64" s="3" t="s">
        <v>70</v>
      </c>
      <c r="D64" s="3">
        <v>0.5</v>
      </c>
    </row>
    <row r="65" spans="1:4" ht="33" x14ac:dyDescent="0.5">
      <c r="A65" s="12" t="s">
        <v>22</v>
      </c>
      <c r="B65" s="2" t="s">
        <v>34</v>
      </c>
      <c r="C65" s="3" t="s">
        <v>71</v>
      </c>
      <c r="D65" s="3">
        <v>0.5</v>
      </c>
    </row>
    <row r="66" spans="1:4" ht="33" x14ac:dyDescent="0.5">
      <c r="A66" s="12" t="s">
        <v>22</v>
      </c>
      <c r="B66" s="2" t="s">
        <v>35</v>
      </c>
      <c r="C66" s="3" t="s">
        <v>72</v>
      </c>
      <c r="D66" s="3">
        <v>0.5</v>
      </c>
    </row>
    <row r="67" spans="1:4" ht="33" x14ac:dyDescent="0.5">
      <c r="A67" s="12" t="s">
        <v>22</v>
      </c>
      <c r="B67" s="2" t="s">
        <v>36</v>
      </c>
      <c r="C67" s="3" t="s">
        <v>73</v>
      </c>
      <c r="D67" s="3">
        <v>0.5</v>
      </c>
    </row>
    <row r="68" spans="1:4" ht="33" x14ac:dyDescent="0.5">
      <c r="A68" s="12" t="s">
        <v>22</v>
      </c>
      <c r="B68" s="2" t="s">
        <v>37</v>
      </c>
      <c r="C68" s="3" t="s">
        <v>74</v>
      </c>
      <c r="D68" s="3">
        <v>0.5</v>
      </c>
    </row>
    <row r="69" spans="1:4" ht="33" x14ac:dyDescent="0.5">
      <c r="A69" s="12" t="s">
        <v>22</v>
      </c>
      <c r="B69" s="2" t="s">
        <v>38</v>
      </c>
      <c r="C69" s="3" t="s">
        <v>75</v>
      </c>
      <c r="D69" s="3">
        <v>0.5</v>
      </c>
    </row>
    <row r="70" spans="1:4" ht="33" x14ac:dyDescent="0.5">
      <c r="A70" s="12" t="s">
        <v>22</v>
      </c>
      <c r="B70" s="2" t="s">
        <v>39</v>
      </c>
      <c r="C70" s="3" t="s">
        <v>76</v>
      </c>
      <c r="D70" s="3">
        <v>0.5</v>
      </c>
    </row>
    <row r="71" spans="1:4" ht="33" x14ac:dyDescent="0.5">
      <c r="A71" s="12" t="s">
        <v>22</v>
      </c>
      <c r="B71" s="2" t="s">
        <v>40</v>
      </c>
      <c r="C71" s="3" t="s">
        <v>77</v>
      </c>
      <c r="D71" s="3">
        <v>0.5</v>
      </c>
    </row>
    <row r="72" spans="1:4" ht="33" x14ac:dyDescent="0.5">
      <c r="A72" s="12" t="s">
        <v>22</v>
      </c>
      <c r="B72" s="2" t="s">
        <v>41</v>
      </c>
      <c r="C72" s="3" t="s">
        <v>78</v>
      </c>
      <c r="D72" s="3">
        <v>0.5</v>
      </c>
    </row>
    <row r="73" spans="1:4" ht="33" x14ac:dyDescent="0.5">
      <c r="A73" s="12" t="s">
        <v>22</v>
      </c>
      <c r="B73" s="2" t="s">
        <v>42</v>
      </c>
      <c r="C73" s="3" t="s">
        <v>79</v>
      </c>
      <c r="D73" s="3">
        <v>0.5</v>
      </c>
    </row>
    <row r="74" spans="1:4" ht="33" x14ac:dyDescent="0.5">
      <c r="A74" s="12" t="s">
        <v>22</v>
      </c>
      <c r="B74" s="2" t="s">
        <v>43</v>
      </c>
      <c r="C74" s="3" t="s">
        <v>80</v>
      </c>
      <c r="D74" s="3">
        <v>0.5</v>
      </c>
    </row>
    <row r="75" spans="1:4" ht="33" x14ac:dyDescent="0.5">
      <c r="A75" s="12" t="s">
        <v>22</v>
      </c>
      <c r="B75" s="2" t="s">
        <v>44</v>
      </c>
      <c r="C75" s="3" t="s">
        <v>81</v>
      </c>
      <c r="D75" s="3">
        <v>0.5</v>
      </c>
    </row>
    <row r="76" spans="1:4" ht="33" x14ac:dyDescent="0.5">
      <c r="A76" s="12" t="s">
        <v>22</v>
      </c>
      <c r="B76" s="2" t="s">
        <v>45</v>
      </c>
      <c r="C76" s="3" t="s">
        <v>73</v>
      </c>
      <c r="D76" s="3">
        <v>0.5</v>
      </c>
    </row>
    <row r="77" spans="1:4" ht="33" x14ac:dyDescent="0.5">
      <c r="A77" s="12" t="s">
        <v>22</v>
      </c>
      <c r="B77" s="2" t="s">
        <v>46</v>
      </c>
      <c r="C77" s="3" t="s">
        <v>70</v>
      </c>
      <c r="D77" s="3">
        <v>0.5</v>
      </c>
    </row>
    <row r="78" spans="1:4" ht="33" x14ac:dyDescent="0.5">
      <c r="A78" s="12" t="s">
        <v>22</v>
      </c>
      <c r="B78" s="2" t="s">
        <v>47</v>
      </c>
      <c r="C78" s="3" t="s">
        <v>82</v>
      </c>
      <c r="D78" s="3">
        <v>0.5</v>
      </c>
    </row>
    <row r="79" spans="1:4" ht="33" x14ac:dyDescent="0.5">
      <c r="A79" s="12" t="s">
        <v>22</v>
      </c>
      <c r="B79" s="2" t="s">
        <v>48</v>
      </c>
      <c r="C79" s="3" t="s">
        <v>83</v>
      </c>
      <c r="D79" s="3">
        <v>0.5</v>
      </c>
    </row>
    <row r="80" spans="1:4" ht="33" x14ac:dyDescent="0.5">
      <c r="A80" s="12" t="s">
        <v>22</v>
      </c>
      <c r="B80" s="2" t="s">
        <v>49</v>
      </c>
      <c r="C80" s="3" t="s">
        <v>84</v>
      </c>
      <c r="D80" s="3">
        <v>0.5</v>
      </c>
    </row>
    <row r="81" spans="1:4" ht="33" x14ac:dyDescent="0.5">
      <c r="A81" s="12" t="s">
        <v>22</v>
      </c>
      <c r="B81" s="2" t="s">
        <v>50</v>
      </c>
      <c r="C81" s="3" t="s">
        <v>85</v>
      </c>
      <c r="D81" s="3">
        <v>0.5</v>
      </c>
    </row>
    <row r="82" spans="1:4" ht="33" x14ac:dyDescent="0.5">
      <c r="A82" s="12" t="s">
        <v>22</v>
      </c>
      <c r="B82" s="2" t="s">
        <v>51</v>
      </c>
      <c r="C82" s="3" t="s">
        <v>86</v>
      </c>
      <c r="D82" s="3">
        <v>0.5</v>
      </c>
    </row>
    <row r="83" spans="1:4" ht="33" x14ac:dyDescent="0.5">
      <c r="A83" s="12" t="s">
        <v>22</v>
      </c>
      <c r="B83" s="2" t="s">
        <v>52</v>
      </c>
      <c r="C83" s="3" t="s">
        <v>87</v>
      </c>
      <c r="D83" s="3">
        <v>0.5</v>
      </c>
    </row>
    <row r="84" spans="1:4" ht="33" x14ac:dyDescent="0.5">
      <c r="A84" s="12" t="s">
        <v>22</v>
      </c>
      <c r="B84" s="2" t="s">
        <v>53</v>
      </c>
      <c r="C84" s="3" t="s">
        <v>75</v>
      </c>
      <c r="D84" s="3">
        <v>0.5</v>
      </c>
    </row>
    <row r="85" spans="1:4" ht="33" x14ac:dyDescent="0.5">
      <c r="A85" s="12" t="s">
        <v>22</v>
      </c>
      <c r="B85" s="2" t="s">
        <v>54</v>
      </c>
      <c r="C85" s="3" t="s">
        <v>88</v>
      </c>
      <c r="D85" s="3">
        <v>0.5</v>
      </c>
    </row>
    <row r="86" spans="1:4" ht="33" x14ac:dyDescent="0.5">
      <c r="A86" s="12" t="s">
        <v>22</v>
      </c>
      <c r="B86" s="2" t="s">
        <v>55</v>
      </c>
      <c r="C86" s="3" t="s">
        <v>89</v>
      </c>
      <c r="D86" s="3">
        <v>0.5</v>
      </c>
    </row>
    <row r="87" spans="1:4" ht="33" x14ac:dyDescent="0.5">
      <c r="A87" s="12" t="s">
        <v>22</v>
      </c>
      <c r="B87" s="2" t="s">
        <v>56</v>
      </c>
      <c r="C87" s="3" t="s">
        <v>90</v>
      </c>
      <c r="D87" s="3">
        <v>0.5</v>
      </c>
    </row>
    <row r="88" spans="1:4" ht="33" x14ac:dyDescent="0.5">
      <c r="A88" s="12" t="s">
        <v>22</v>
      </c>
      <c r="B88" s="2" t="s">
        <v>57</v>
      </c>
      <c r="C88" s="3" t="s">
        <v>91</v>
      </c>
      <c r="D88" s="3">
        <v>0.5</v>
      </c>
    </row>
    <row r="89" spans="1:4" ht="33" x14ac:dyDescent="0.5">
      <c r="A89" s="12" t="s">
        <v>22</v>
      </c>
      <c r="B89" s="2" t="s">
        <v>58</v>
      </c>
      <c r="C89" s="3" t="s">
        <v>92</v>
      </c>
      <c r="D89" s="3">
        <v>0.5</v>
      </c>
    </row>
    <row r="90" spans="1:4" ht="33" x14ac:dyDescent="0.5">
      <c r="A90" s="12" t="s">
        <v>22</v>
      </c>
      <c r="B90" s="2" t="s">
        <v>59</v>
      </c>
      <c r="C90" s="3" t="s">
        <v>93</v>
      </c>
      <c r="D90" s="3">
        <v>0.5</v>
      </c>
    </row>
    <row r="91" spans="1:4" ht="24" customHeight="1" x14ac:dyDescent="0.5">
      <c r="A91" s="12" t="s">
        <v>94</v>
      </c>
      <c r="B91" s="2" t="s">
        <v>95</v>
      </c>
      <c r="C91" s="3" t="s">
        <v>104</v>
      </c>
      <c r="D91" s="3">
        <v>0.5</v>
      </c>
    </row>
    <row r="92" spans="1:4" ht="33" x14ac:dyDescent="0.5">
      <c r="A92" s="12" t="s">
        <v>94</v>
      </c>
      <c r="B92" s="2" t="s">
        <v>96</v>
      </c>
      <c r="C92" s="3" t="s">
        <v>105</v>
      </c>
      <c r="D92" s="3">
        <v>0.5</v>
      </c>
    </row>
    <row r="93" spans="1:4" ht="33" x14ac:dyDescent="0.5">
      <c r="A93" s="12" t="s">
        <v>94</v>
      </c>
      <c r="B93" s="2" t="s">
        <v>97</v>
      </c>
      <c r="C93" s="3" t="s">
        <v>106</v>
      </c>
      <c r="D93" s="3">
        <v>0.5</v>
      </c>
    </row>
    <row r="94" spans="1:4" ht="33" x14ac:dyDescent="0.5">
      <c r="A94" s="12" t="s">
        <v>94</v>
      </c>
      <c r="B94" s="2" t="s">
        <v>98</v>
      </c>
      <c r="C94" s="3" t="s">
        <v>104</v>
      </c>
      <c r="D94" s="3">
        <v>0.5</v>
      </c>
    </row>
    <row r="95" spans="1:4" ht="33" x14ac:dyDescent="0.5">
      <c r="A95" s="12" t="s">
        <v>94</v>
      </c>
      <c r="B95" s="2" t="s">
        <v>99</v>
      </c>
      <c r="C95" s="3" t="s">
        <v>104</v>
      </c>
      <c r="D95" s="3">
        <v>0.5</v>
      </c>
    </row>
    <row r="96" spans="1:4" ht="33" x14ac:dyDescent="0.5">
      <c r="A96" s="12" t="s">
        <v>94</v>
      </c>
      <c r="B96" s="2" t="s">
        <v>100</v>
      </c>
      <c r="C96" s="3" t="s">
        <v>107</v>
      </c>
      <c r="D96" s="3">
        <v>0.5</v>
      </c>
    </row>
    <row r="97" spans="1:4" ht="33" x14ac:dyDescent="0.5">
      <c r="A97" s="12" t="s">
        <v>94</v>
      </c>
      <c r="B97" s="2" t="s">
        <v>101</v>
      </c>
      <c r="C97" s="3" t="s">
        <v>104</v>
      </c>
      <c r="D97" s="3">
        <v>0.5</v>
      </c>
    </row>
    <row r="98" spans="1:4" ht="33" x14ac:dyDescent="0.5">
      <c r="A98" s="12" t="s">
        <v>94</v>
      </c>
      <c r="B98" s="2" t="s">
        <v>102</v>
      </c>
      <c r="C98" s="3" t="s">
        <v>108</v>
      </c>
      <c r="D98" s="3">
        <v>0.5</v>
      </c>
    </row>
    <row r="99" spans="1:4" ht="33" x14ac:dyDescent="0.5">
      <c r="A99" s="12" t="s">
        <v>94</v>
      </c>
      <c r="B99" s="2" t="s">
        <v>103</v>
      </c>
      <c r="C99" s="3" t="s">
        <v>109</v>
      </c>
      <c r="D99" s="3">
        <v>0.5</v>
      </c>
    </row>
    <row r="100" spans="1:4" ht="24" customHeight="1" x14ac:dyDescent="0.5">
      <c r="A100" s="12" t="s">
        <v>110</v>
      </c>
      <c r="B100" s="2" t="s">
        <v>111</v>
      </c>
      <c r="C100" s="3" t="s">
        <v>197</v>
      </c>
      <c r="D100" s="3">
        <v>0.5</v>
      </c>
    </row>
    <row r="101" spans="1:4" ht="33" x14ac:dyDescent="0.5">
      <c r="A101" s="12" t="s">
        <v>110</v>
      </c>
      <c r="B101" s="2" t="s">
        <v>112</v>
      </c>
      <c r="C101" s="3" t="s">
        <v>198</v>
      </c>
      <c r="D101" s="3">
        <v>0.5</v>
      </c>
    </row>
    <row r="102" spans="1:4" ht="33" x14ac:dyDescent="0.5">
      <c r="A102" s="12" t="s">
        <v>110</v>
      </c>
      <c r="B102" s="2" t="s">
        <v>113</v>
      </c>
      <c r="C102" s="3" t="s">
        <v>199</v>
      </c>
      <c r="D102" s="3">
        <v>0.5</v>
      </c>
    </row>
    <row r="103" spans="1:4" ht="33" x14ac:dyDescent="0.5">
      <c r="A103" s="12" t="s">
        <v>110</v>
      </c>
      <c r="B103" s="2" t="s">
        <v>114</v>
      </c>
      <c r="C103" s="3" t="s">
        <v>200</v>
      </c>
      <c r="D103" s="3">
        <v>0.5</v>
      </c>
    </row>
    <row r="104" spans="1:4" ht="33" x14ac:dyDescent="0.5">
      <c r="A104" s="12" t="s">
        <v>110</v>
      </c>
      <c r="B104" s="2" t="s">
        <v>115</v>
      </c>
      <c r="C104" s="3" t="s">
        <v>201</v>
      </c>
      <c r="D104" s="3">
        <v>0.5</v>
      </c>
    </row>
    <row r="105" spans="1:4" ht="33" x14ac:dyDescent="0.5">
      <c r="A105" s="12" t="s">
        <v>110</v>
      </c>
      <c r="B105" s="2" t="s">
        <v>116</v>
      </c>
      <c r="C105" s="3" t="s">
        <v>202</v>
      </c>
      <c r="D105" s="3">
        <v>0.5</v>
      </c>
    </row>
    <row r="106" spans="1:4" ht="33" x14ac:dyDescent="0.5">
      <c r="A106" s="12" t="s">
        <v>110</v>
      </c>
      <c r="B106" s="2" t="s">
        <v>117</v>
      </c>
      <c r="C106" s="3" t="s">
        <v>203</v>
      </c>
      <c r="D106" s="3">
        <v>0.5</v>
      </c>
    </row>
    <row r="107" spans="1:4" ht="33" x14ac:dyDescent="0.5">
      <c r="A107" s="12" t="s">
        <v>110</v>
      </c>
      <c r="B107" s="2" t="s">
        <v>118</v>
      </c>
      <c r="C107" s="3" t="s">
        <v>204</v>
      </c>
      <c r="D107" s="3">
        <v>0.5</v>
      </c>
    </row>
    <row r="108" spans="1:4" ht="33" x14ac:dyDescent="0.5">
      <c r="A108" s="12" t="s">
        <v>110</v>
      </c>
      <c r="B108" s="2" t="s">
        <v>119</v>
      </c>
      <c r="C108" s="3" t="s">
        <v>205</v>
      </c>
      <c r="D108" s="3">
        <v>0.5</v>
      </c>
    </row>
    <row r="109" spans="1:4" ht="33" x14ac:dyDescent="0.5">
      <c r="A109" s="12" t="s">
        <v>110</v>
      </c>
      <c r="B109" s="2" t="s">
        <v>120</v>
      </c>
      <c r="C109" s="3" t="s">
        <v>206</v>
      </c>
      <c r="D109" s="3">
        <v>0.5</v>
      </c>
    </row>
    <row r="110" spans="1:4" ht="33" x14ac:dyDescent="0.5">
      <c r="A110" s="12" t="s">
        <v>110</v>
      </c>
      <c r="B110" s="2" t="s">
        <v>121</v>
      </c>
      <c r="C110" s="3" t="s">
        <v>198</v>
      </c>
      <c r="D110" s="3">
        <v>0.5</v>
      </c>
    </row>
    <row r="111" spans="1:4" ht="33" x14ac:dyDescent="0.5">
      <c r="A111" s="12" t="s">
        <v>110</v>
      </c>
      <c r="B111" s="2" t="s">
        <v>27</v>
      </c>
      <c r="C111" s="3" t="s">
        <v>64</v>
      </c>
      <c r="D111" s="3">
        <v>0.5</v>
      </c>
    </row>
    <row r="112" spans="1:4" ht="33" x14ac:dyDescent="0.5">
      <c r="A112" s="12" t="s">
        <v>110</v>
      </c>
      <c r="B112" s="2" t="s">
        <v>122</v>
      </c>
      <c r="C112" s="3" t="s">
        <v>207</v>
      </c>
      <c r="D112" s="3">
        <v>0.5</v>
      </c>
    </row>
    <row r="113" spans="1:4" ht="33" x14ac:dyDescent="0.5">
      <c r="A113" s="12" t="s">
        <v>110</v>
      </c>
      <c r="B113" s="2" t="s">
        <v>28</v>
      </c>
      <c r="C113" s="3" t="s">
        <v>65</v>
      </c>
      <c r="D113" s="3">
        <v>0.5</v>
      </c>
    </row>
    <row r="114" spans="1:4" ht="33" x14ac:dyDescent="0.5">
      <c r="A114" s="12" t="s">
        <v>110</v>
      </c>
      <c r="B114" s="2" t="s">
        <v>123</v>
      </c>
      <c r="C114" s="3" t="s">
        <v>208</v>
      </c>
      <c r="D114" s="3">
        <v>0.5</v>
      </c>
    </row>
    <row r="115" spans="1:4" ht="33" x14ac:dyDescent="0.5">
      <c r="A115" s="12" t="s">
        <v>110</v>
      </c>
      <c r="B115" s="2" t="s">
        <v>124</v>
      </c>
      <c r="C115" s="3" t="s">
        <v>209</v>
      </c>
      <c r="D115" s="3">
        <v>0.5</v>
      </c>
    </row>
    <row r="116" spans="1:4" ht="33" x14ac:dyDescent="0.5">
      <c r="A116" s="12" t="s">
        <v>110</v>
      </c>
      <c r="B116" s="2" t="s">
        <v>29</v>
      </c>
      <c r="C116" s="3" t="s">
        <v>66</v>
      </c>
      <c r="D116" s="3">
        <v>0.5</v>
      </c>
    </row>
    <row r="117" spans="1:4" ht="33" x14ac:dyDescent="0.5">
      <c r="A117" s="12" t="s">
        <v>110</v>
      </c>
      <c r="B117" s="2" t="s">
        <v>125</v>
      </c>
      <c r="C117" s="3" t="s">
        <v>210</v>
      </c>
      <c r="D117" s="3">
        <v>0.5</v>
      </c>
    </row>
    <row r="118" spans="1:4" ht="33" x14ac:dyDescent="0.5">
      <c r="A118" s="12" t="s">
        <v>110</v>
      </c>
      <c r="B118" s="2" t="s">
        <v>126</v>
      </c>
      <c r="C118" s="3" t="s">
        <v>211</v>
      </c>
      <c r="D118" s="3">
        <v>0.5</v>
      </c>
    </row>
    <row r="119" spans="1:4" ht="33" x14ac:dyDescent="0.5">
      <c r="A119" s="12" t="s">
        <v>110</v>
      </c>
      <c r="B119" s="2" t="s">
        <v>127</v>
      </c>
      <c r="C119" s="3" t="s">
        <v>212</v>
      </c>
      <c r="D119" s="3">
        <v>0.5</v>
      </c>
    </row>
    <row r="120" spans="1:4" ht="33" x14ac:dyDescent="0.5">
      <c r="A120" s="12" t="s">
        <v>110</v>
      </c>
      <c r="B120" s="2" t="s">
        <v>128</v>
      </c>
      <c r="C120" s="3" t="s">
        <v>213</v>
      </c>
      <c r="D120" s="3">
        <v>0.5</v>
      </c>
    </row>
    <row r="121" spans="1:4" ht="33" x14ac:dyDescent="0.5">
      <c r="A121" s="12" t="s">
        <v>110</v>
      </c>
      <c r="B121" s="2" t="s">
        <v>30</v>
      </c>
      <c r="C121" s="3" t="s">
        <v>67</v>
      </c>
      <c r="D121" s="3">
        <v>0.5</v>
      </c>
    </row>
    <row r="122" spans="1:4" ht="33" x14ac:dyDescent="0.5">
      <c r="A122" s="12" t="s">
        <v>110</v>
      </c>
      <c r="B122" s="2" t="s">
        <v>129</v>
      </c>
      <c r="C122" s="3" t="s">
        <v>214</v>
      </c>
      <c r="D122" s="3">
        <v>0.5</v>
      </c>
    </row>
    <row r="123" spans="1:4" ht="33" x14ac:dyDescent="0.5">
      <c r="A123" s="12" t="s">
        <v>110</v>
      </c>
      <c r="B123" s="2" t="s">
        <v>130</v>
      </c>
      <c r="C123" s="3" t="s">
        <v>215</v>
      </c>
      <c r="D123" s="3">
        <v>0.5</v>
      </c>
    </row>
    <row r="124" spans="1:4" ht="33" x14ac:dyDescent="0.5">
      <c r="A124" s="12" t="s">
        <v>110</v>
      </c>
      <c r="B124" s="2" t="s">
        <v>131</v>
      </c>
      <c r="C124" s="3" t="s">
        <v>216</v>
      </c>
      <c r="D124" s="3">
        <v>0.5</v>
      </c>
    </row>
    <row r="125" spans="1:4" ht="33" x14ac:dyDescent="0.5">
      <c r="A125" s="12" t="s">
        <v>110</v>
      </c>
      <c r="B125" s="2" t="s">
        <v>132</v>
      </c>
      <c r="C125" s="3" t="s">
        <v>217</v>
      </c>
      <c r="D125" s="3">
        <v>0.5</v>
      </c>
    </row>
    <row r="126" spans="1:4" ht="33" x14ac:dyDescent="0.5">
      <c r="A126" s="12" t="s">
        <v>110</v>
      </c>
      <c r="B126" s="2" t="s">
        <v>133</v>
      </c>
      <c r="C126" s="3" t="s">
        <v>218</v>
      </c>
      <c r="D126" s="3">
        <v>0.5</v>
      </c>
    </row>
    <row r="127" spans="1:4" ht="33" x14ac:dyDescent="0.5">
      <c r="A127" s="12" t="s">
        <v>110</v>
      </c>
      <c r="B127" s="2" t="s">
        <v>31</v>
      </c>
      <c r="C127" s="3" t="s">
        <v>68</v>
      </c>
      <c r="D127" s="3">
        <v>0.5</v>
      </c>
    </row>
    <row r="128" spans="1:4" ht="33" x14ac:dyDescent="0.5">
      <c r="A128" s="12" t="s">
        <v>110</v>
      </c>
      <c r="B128" s="2" t="s">
        <v>134</v>
      </c>
      <c r="C128" s="3" t="s">
        <v>219</v>
      </c>
      <c r="D128" s="3">
        <v>0.5</v>
      </c>
    </row>
    <row r="129" spans="1:4" ht="33" x14ac:dyDescent="0.5">
      <c r="A129" s="12" t="s">
        <v>110</v>
      </c>
      <c r="B129" s="2" t="s">
        <v>135</v>
      </c>
      <c r="C129" s="3" t="s">
        <v>220</v>
      </c>
      <c r="D129" s="3">
        <v>0.5</v>
      </c>
    </row>
    <row r="130" spans="1:4" ht="33" x14ac:dyDescent="0.5">
      <c r="A130" s="12" t="s">
        <v>110</v>
      </c>
      <c r="B130" s="2" t="s">
        <v>136</v>
      </c>
      <c r="C130" s="3" t="s">
        <v>221</v>
      </c>
      <c r="D130" s="3">
        <v>0.5</v>
      </c>
    </row>
    <row r="131" spans="1:4" ht="33" x14ac:dyDescent="0.5">
      <c r="A131" s="12" t="s">
        <v>110</v>
      </c>
      <c r="B131" s="2" t="s">
        <v>137</v>
      </c>
      <c r="C131" s="3" t="s">
        <v>222</v>
      </c>
      <c r="D131" s="3">
        <v>0.5</v>
      </c>
    </row>
    <row r="132" spans="1:4" ht="33" x14ac:dyDescent="0.5">
      <c r="A132" s="12" t="s">
        <v>110</v>
      </c>
      <c r="B132" s="2" t="s">
        <v>138</v>
      </c>
      <c r="C132" s="3" t="s">
        <v>223</v>
      </c>
      <c r="D132" s="3">
        <v>0.5</v>
      </c>
    </row>
    <row r="133" spans="1:4" ht="33" x14ac:dyDescent="0.5">
      <c r="A133" s="12" t="s">
        <v>110</v>
      </c>
      <c r="B133" s="2" t="s">
        <v>139</v>
      </c>
      <c r="C133" s="3" t="s">
        <v>224</v>
      </c>
      <c r="D133" s="3">
        <v>0.5</v>
      </c>
    </row>
    <row r="134" spans="1:4" ht="33" x14ac:dyDescent="0.5">
      <c r="A134" s="12" t="s">
        <v>110</v>
      </c>
      <c r="B134" s="2" t="s">
        <v>140</v>
      </c>
      <c r="C134" s="3" t="s">
        <v>225</v>
      </c>
      <c r="D134" s="3">
        <v>0.5</v>
      </c>
    </row>
    <row r="135" spans="1:4" ht="33" x14ac:dyDescent="0.5">
      <c r="A135" s="12" t="s">
        <v>110</v>
      </c>
      <c r="B135" s="2" t="s">
        <v>141</v>
      </c>
      <c r="C135" s="3" t="s">
        <v>226</v>
      </c>
      <c r="D135" s="3">
        <v>0.5</v>
      </c>
    </row>
    <row r="136" spans="1:4" ht="33" x14ac:dyDescent="0.5">
      <c r="A136" s="12" t="s">
        <v>110</v>
      </c>
      <c r="B136" s="2" t="s">
        <v>142</v>
      </c>
      <c r="C136" s="3" t="s">
        <v>227</v>
      </c>
      <c r="D136" s="3">
        <v>0.5</v>
      </c>
    </row>
    <row r="137" spans="1:4" ht="33" x14ac:dyDescent="0.5">
      <c r="A137" s="12" t="s">
        <v>110</v>
      </c>
      <c r="B137" s="2" t="s">
        <v>143</v>
      </c>
      <c r="C137" s="3" t="s">
        <v>228</v>
      </c>
      <c r="D137" s="3">
        <v>0.5</v>
      </c>
    </row>
    <row r="138" spans="1:4" ht="33" x14ac:dyDescent="0.5">
      <c r="A138" s="12" t="s">
        <v>110</v>
      </c>
      <c r="B138" s="2" t="s">
        <v>144</v>
      </c>
      <c r="C138" s="3" t="s">
        <v>270</v>
      </c>
      <c r="D138" s="3">
        <v>0.5</v>
      </c>
    </row>
    <row r="139" spans="1:4" ht="33" x14ac:dyDescent="0.5">
      <c r="A139" s="12" t="s">
        <v>110</v>
      </c>
      <c r="B139" s="2" t="s">
        <v>145</v>
      </c>
      <c r="C139" s="3" t="s">
        <v>271</v>
      </c>
      <c r="D139" s="3">
        <v>0.5</v>
      </c>
    </row>
    <row r="140" spans="1:4" ht="33" x14ac:dyDescent="0.5">
      <c r="A140" s="12" t="s">
        <v>110</v>
      </c>
      <c r="B140" s="2" t="s">
        <v>146</v>
      </c>
      <c r="C140" s="3" t="s">
        <v>207</v>
      </c>
      <c r="D140" s="3">
        <v>0.5</v>
      </c>
    </row>
    <row r="141" spans="1:4" ht="33" x14ac:dyDescent="0.5">
      <c r="A141" s="12" t="s">
        <v>110</v>
      </c>
      <c r="B141" s="2" t="s">
        <v>147</v>
      </c>
      <c r="C141" s="3" t="s">
        <v>229</v>
      </c>
      <c r="D141" s="3">
        <v>0.5</v>
      </c>
    </row>
    <row r="142" spans="1:4" ht="33" x14ac:dyDescent="0.5">
      <c r="A142" s="12" t="s">
        <v>110</v>
      </c>
      <c r="B142" s="2" t="s">
        <v>148</v>
      </c>
      <c r="C142" s="3" t="s">
        <v>230</v>
      </c>
      <c r="D142" s="3">
        <v>0.5</v>
      </c>
    </row>
    <row r="143" spans="1:4" ht="33" x14ac:dyDescent="0.5">
      <c r="A143" s="12" t="s">
        <v>110</v>
      </c>
      <c r="B143" s="2" t="s">
        <v>33</v>
      </c>
      <c r="C143" s="3" t="s">
        <v>70</v>
      </c>
      <c r="D143" s="3">
        <v>0.5</v>
      </c>
    </row>
    <row r="144" spans="1:4" ht="33" x14ac:dyDescent="0.5">
      <c r="A144" s="12" t="s">
        <v>110</v>
      </c>
      <c r="B144" s="2" t="s">
        <v>149</v>
      </c>
      <c r="C144" s="3" t="s">
        <v>231</v>
      </c>
      <c r="D144" s="3">
        <v>0.5</v>
      </c>
    </row>
    <row r="145" spans="1:4" ht="33" x14ac:dyDescent="0.5">
      <c r="A145" s="12" t="s">
        <v>110</v>
      </c>
      <c r="B145" s="2" t="s">
        <v>150</v>
      </c>
      <c r="C145" s="3" t="s">
        <v>232</v>
      </c>
      <c r="D145" s="3">
        <v>0.5</v>
      </c>
    </row>
    <row r="146" spans="1:4" ht="33" x14ac:dyDescent="0.5">
      <c r="A146" s="12" t="s">
        <v>110</v>
      </c>
      <c r="B146" s="2" t="s">
        <v>151</v>
      </c>
      <c r="C146" s="3" t="s">
        <v>233</v>
      </c>
      <c r="D146" s="3">
        <v>0.5</v>
      </c>
    </row>
    <row r="147" spans="1:4" ht="33" x14ac:dyDescent="0.5">
      <c r="A147" s="12" t="s">
        <v>110</v>
      </c>
      <c r="B147" s="2" t="s">
        <v>152</v>
      </c>
      <c r="C147" s="3" t="s">
        <v>234</v>
      </c>
      <c r="D147" s="3">
        <v>0.5</v>
      </c>
    </row>
    <row r="148" spans="1:4" ht="33" x14ac:dyDescent="0.5">
      <c r="A148" s="12" t="s">
        <v>110</v>
      </c>
      <c r="B148" s="2" t="s">
        <v>34</v>
      </c>
      <c r="C148" s="3" t="s">
        <v>71</v>
      </c>
      <c r="D148" s="3">
        <v>0.5</v>
      </c>
    </row>
    <row r="149" spans="1:4" ht="33" x14ac:dyDescent="0.5">
      <c r="A149" s="12" t="s">
        <v>110</v>
      </c>
      <c r="B149" s="2" t="s">
        <v>153</v>
      </c>
      <c r="C149" s="3" t="s">
        <v>235</v>
      </c>
      <c r="D149" s="3">
        <v>0.5</v>
      </c>
    </row>
    <row r="150" spans="1:4" ht="33" x14ac:dyDescent="0.5">
      <c r="A150" s="12" t="s">
        <v>110</v>
      </c>
      <c r="B150" s="2" t="s">
        <v>154</v>
      </c>
      <c r="C150" s="3" t="s">
        <v>236</v>
      </c>
      <c r="D150" s="3">
        <v>0.5</v>
      </c>
    </row>
    <row r="151" spans="1:4" ht="33" x14ac:dyDescent="0.5">
      <c r="A151" s="12" t="s">
        <v>110</v>
      </c>
      <c r="B151" s="2" t="s">
        <v>155</v>
      </c>
      <c r="C151" s="3" t="s">
        <v>237</v>
      </c>
      <c r="D151" s="3">
        <v>0.5</v>
      </c>
    </row>
    <row r="152" spans="1:4" ht="33" x14ac:dyDescent="0.5">
      <c r="A152" s="12" t="s">
        <v>110</v>
      </c>
      <c r="B152" s="2" t="s">
        <v>156</v>
      </c>
      <c r="C152" s="3" t="s">
        <v>272</v>
      </c>
      <c r="D152" s="3">
        <v>0.5</v>
      </c>
    </row>
    <row r="153" spans="1:4" ht="33" x14ac:dyDescent="0.5">
      <c r="A153" s="12" t="s">
        <v>110</v>
      </c>
      <c r="B153" s="2" t="s">
        <v>157</v>
      </c>
      <c r="C153" s="3" t="s">
        <v>238</v>
      </c>
      <c r="D153" s="3">
        <v>0.5</v>
      </c>
    </row>
    <row r="154" spans="1:4" ht="33" x14ac:dyDescent="0.5">
      <c r="A154" s="12" t="s">
        <v>110</v>
      </c>
      <c r="B154" s="2" t="s">
        <v>35</v>
      </c>
      <c r="C154" s="3" t="s">
        <v>72</v>
      </c>
      <c r="D154" s="3">
        <v>0.5</v>
      </c>
    </row>
    <row r="155" spans="1:4" ht="33" x14ac:dyDescent="0.5">
      <c r="A155" s="12" t="s">
        <v>110</v>
      </c>
      <c r="B155" s="2" t="s">
        <v>158</v>
      </c>
      <c r="C155" s="3" t="s">
        <v>239</v>
      </c>
      <c r="D155" s="3">
        <v>0.5</v>
      </c>
    </row>
    <row r="156" spans="1:4" ht="33" x14ac:dyDescent="0.5">
      <c r="A156" s="12" t="s">
        <v>110</v>
      </c>
      <c r="B156" s="2" t="s">
        <v>159</v>
      </c>
      <c r="C156" s="3" t="s">
        <v>221</v>
      </c>
      <c r="D156" s="3">
        <v>0.5</v>
      </c>
    </row>
    <row r="157" spans="1:4" ht="33" x14ac:dyDescent="0.5">
      <c r="A157" s="12" t="s">
        <v>110</v>
      </c>
      <c r="B157" s="2" t="s">
        <v>36</v>
      </c>
      <c r="C157" s="3" t="s">
        <v>73</v>
      </c>
      <c r="D157" s="3">
        <v>0.5</v>
      </c>
    </row>
    <row r="158" spans="1:4" ht="33" x14ac:dyDescent="0.5">
      <c r="A158" s="12" t="s">
        <v>110</v>
      </c>
      <c r="B158" s="2" t="s">
        <v>160</v>
      </c>
      <c r="C158" s="3" t="s">
        <v>240</v>
      </c>
      <c r="D158" s="3">
        <v>0.5</v>
      </c>
    </row>
    <row r="159" spans="1:4" ht="33" x14ac:dyDescent="0.5">
      <c r="A159" s="12" t="s">
        <v>110</v>
      </c>
      <c r="B159" s="2" t="s">
        <v>161</v>
      </c>
      <c r="C159" s="3" t="s">
        <v>241</v>
      </c>
      <c r="D159" s="3">
        <v>0.5</v>
      </c>
    </row>
    <row r="160" spans="1:4" ht="33" x14ac:dyDescent="0.5">
      <c r="A160" s="12" t="s">
        <v>110</v>
      </c>
      <c r="B160" s="2" t="s">
        <v>162</v>
      </c>
      <c r="C160" s="3" t="s">
        <v>242</v>
      </c>
      <c r="D160" s="3">
        <v>0.5</v>
      </c>
    </row>
    <row r="161" spans="1:4" ht="33" x14ac:dyDescent="0.5">
      <c r="A161" s="12" t="s">
        <v>110</v>
      </c>
      <c r="B161" s="2" t="s">
        <v>163</v>
      </c>
      <c r="C161" s="3" t="s">
        <v>226</v>
      </c>
      <c r="D161" s="3">
        <v>0.5</v>
      </c>
    </row>
    <row r="162" spans="1:4" ht="33" x14ac:dyDescent="0.5">
      <c r="A162" s="12" t="s">
        <v>110</v>
      </c>
      <c r="B162" s="2" t="s">
        <v>164</v>
      </c>
      <c r="C162" s="3" t="s">
        <v>227</v>
      </c>
      <c r="D162" s="3">
        <v>0.5</v>
      </c>
    </row>
    <row r="163" spans="1:4" ht="33" x14ac:dyDescent="0.5">
      <c r="A163" s="12" t="s">
        <v>110</v>
      </c>
      <c r="B163" s="2" t="s">
        <v>165</v>
      </c>
      <c r="C163" s="3" t="s">
        <v>273</v>
      </c>
      <c r="D163" s="3">
        <v>0.5</v>
      </c>
    </row>
    <row r="164" spans="1:4" ht="33" x14ac:dyDescent="0.5">
      <c r="A164" s="12" t="s">
        <v>110</v>
      </c>
      <c r="B164" s="2" t="s">
        <v>166</v>
      </c>
      <c r="C164" s="3" t="s">
        <v>243</v>
      </c>
      <c r="D164" s="3">
        <v>0.5</v>
      </c>
    </row>
    <row r="165" spans="1:4" ht="33" x14ac:dyDescent="0.5">
      <c r="A165" s="12" t="s">
        <v>110</v>
      </c>
      <c r="B165" s="2" t="s">
        <v>167</v>
      </c>
      <c r="C165" s="3" t="s">
        <v>244</v>
      </c>
      <c r="D165" s="3">
        <v>0.5</v>
      </c>
    </row>
    <row r="166" spans="1:4" ht="33" x14ac:dyDescent="0.5">
      <c r="A166" s="12" t="s">
        <v>110</v>
      </c>
      <c r="B166" s="2" t="s">
        <v>168</v>
      </c>
      <c r="C166" s="3" t="s">
        <v>245</v>
      </c>
      <c r="D166" s="3">
        <v>0.5</v>
      </c>
    </row>
    <row r="167" spans="1:4" ht="33" x14ac:dyDescent="0.5">
      <c r="A167" s="12" t="s">
        <v>110</v>
      </c>
      <c r="B167" s="2" t="s">
        <v>169</v>
      </c>
      <c r="C167" s="3" t="s">
        <v>246</v>
      </c>
      <c r="D167" s="3">
        <v>0.5</v>
      </c>
    </row>
    <row r="168" spans="1:4" ht="33" x14ac:dyDescent="0.5">
      <c r="A168" s="12" t="s">
        <v>110</v>
      </c>
      <c r="B168" s="2" t="s">
        <v>170</v>
      </c>
      <c r="C168" s="3" t="s">
        <v>247</v>
      </c>
      <c r="D168" s="3">
        <v>0.5</v>
      </c>
    </row>
    <row r="169" spans="1:4" ht="33" x14ac:dyDescent="0.5">
      <c r="A169" s="12" t="s">
        <v>110</v>
      </c>
      <c r="B169" s="2" t="s">
        <v>171</v>
      </c>
      <c r="C169" s="3" t="s">
        <v>248</v>
      </c>
      <c r="D169" s="3">
        <v>0.5</v>
      </c>
    </row>
    <row r="170" spans="1:4" ht="33" x14ac:dyDescent="0.5">
      <c r="A170" s="12" t="s">
        <v>110</v>
      </c>
      <c r="B170" s="2" t="s">
        <v>172</v>
      </c>
      <c r="C170" s="3" t="s">
        <v>249</v>
      </c>
      <c r="D170" s="3">
        <v>0.5</v>
      </c>
    </row>
    <row r="171" spans="1:4" ht="33" x14ac:dyDescent="0.5">
      <c r="A171" s="12" t="s">
        <v>110</v>
      </c>
      <c r="B171" s="2" t="s">
        <v>173</v>
      </c>
      <c r="C171" s="3" t="s">
        <v>250</v>
      </c>
      <c r="D171" s="3">
        <v>0.5</v>
      </c>
    </row>
    <row r="172" spans="1:4" ht="33" x14ac:dyDescent="0.5">
      <c r="A172" s="12" t="s">
        <v>110</v>
      </c>
      <c r="B172" s="2" t="s">
        <v>174</v>
      </c>
      <c r="C172" s="3" t="s">
        <v>251</v>
      </c>
      <c r="D172" s="3">
        <v>0.5</v>
      </c>
    </row>
    <row r="173" spans="1:4" ht="33" x14ac:dyDescent="0.5">
      <c r="A173" s="12" t="s">
        <v>110</v>
      </c>
      <c r="B173" s="2" t="s">
        <v>175</v>
      </c>
      <c r="C173" s="3" t="s">
        <v>252</v>
      </c>
      <c r="D173" s="3">
        <v>0.5</v>
      </c>
    </row>
    <row r="174" spans="1:4" ht="33" x14ac:dyDescent="0.5">
      <c r="A174" s="12" t="s">
        <v>110</v>
      </c>
      <c r="B174" s="2" t="s">
        <v>176</v>
      </c>
      <c r="C174" s="3" t="s">
        <v>253</v>
      </c>
      <c r="D174" s="3">
        <v>0.5</v>
      </c>
    </row>
    <row r="175" spans="1:4" ht="33" x14ac:dyDescent="0.5">
      <c r="A175" s="12" t="s">
        <v>110</v>
      </c>
      <c r="B175" s="2" t="s">
        <v>177</v>
      </c>
      <c r="C175" s="3" t="s">
        <v>254</v>
      </c>
      <c r="D175" s="3">
        <v>0.5</v>
      </c>
    </row>
    <row r="176" spans="1:4" ht="33" x14ac:dyDescent="0.5">
      <c r="A176" s="12" t="s">
        <v>110</v>
      </c>
      <c r="B176" s="2" t="s">
        <v>178</v>
      </c>
      <c r="C176" s="3" t="s">
        <v>242</v>
      </c>
      <c r="D176" s="3">
        <v>0.5</v>
      </c>
    </row>
    <row r="177" spans="1:4" ht="33" x14ac:dyDescent="0.5">
      <c r="A177" s="12" t="s">
        <v>110</v>
      </c>
      <c r="B177" s="2" t="s">
        <v>179</v>
      </c>
      <c r="C177" s="3" t="s">
        <v>252</v>
      </c>
      <c r="D177" s="3">
        <v>0.5</v>
      </c>
    </row>
    <row r="178" spans="1:4" ht="33" x14ac:dyDescent="0.5">
      <c r="A178" s="12" t="s">
        <v>110</v>
      </c>
      <c r="B178" s="2" t="s">
        <v>180</v>
      </c>
      <c r="C178" s="3" t="s">
        <v>255</v>
      </c>
      <c r="D178" s="3">
        <v>0.5</v>
      </c>
    </row>
    <row r="179" spans="1:4" ht="33" x14ac:dyDescent="0.5">
      <c r="A179" s="12" t="s">
        <v>110</v>
      </c>
      <c r="B179" s="2" t="s">
        <v>181</v>
      </c>
      <c r="C179" s="3" t="s">
        <v>256</v>
      </c>
      <c r="D179" s="3">
        <v>0.5</v>
      </c>
    </row>
    <row r="180" spans="1:4" ht="33" x14ac:dyDescent="0.5">
      <c r="A180" s="12" t="s">
        <v>110</v>
      </c>
      <c r="B180" s="2" t="s">
        <v>182</v>
      </c>
      <c r="C180" s="3" t="s">
        <v>257</v>
      </c>
      <c r="D180" s="3">
        <v>0.5</v>
      </c>
    </row>
    <row r="181" spans="1:4" ht="33" x14ac:dyDescent="0.5">
      <c r="A181" s="12" t="s">
        <v>110</v>
      </c>
      <c r="B181" s="2" t="s">
        <v>183</v>
      </c>
      <c r="C181" s="3" t="s">
        <v>258</v>
      </c>
      <c r="D181" s="3">
        <v>0.5</v>
      </c>
    </row>
    <row r="182" spans="1:4" ht="33" x14ac:dyDescent="0.5">
      <c r="A182" s="12" t="s">
        <v>110</v>
      </c>
      <c r="B182" s="2" t="s">
        <v>184</v>
      </c>
      <c r="C182" s="3" t="s">
        <v>259</v>
      </c>
      <c r="D182" s="3">
        <v>0.5</v>
      </c>
    </row>
    <row r="183" spans="1:4" ht="33" x14ac:dyDescent="0.5">
      <c r="A183" s="12" t="s">
        <v>110</v>
      </c>
      <c r="B183" s="2" t="s">
        <v>39</v>
      </c>
      <c r="C183" s="3" t="s">
        <v>76</v>
      </c>
      <c r="D183" s="3">
        <v>0.5</v>
      </c>
    </row>
    <row r="184" spans="1:4" ht="33" x14ac:dyDescent="0.5">
      <c r="A184" s="12" t="s">
        <v>110</v>
      </c>
      <c r="B184" s="2" t="s">
        <v>40</v>
      </c>
      <c r="C184" s="3" t="s">
        <v>77</v>
      </c>
      <c r="D184" s="3">
        <v>0.5</v>
      </c>
    </row>
    <row r="185" spans="1:4" ht="33" x14ac:dyDescent="0.5">
      <c r="A185" s="12" t="s">
        <v>110</v>
      </c>
      <c r="B185" s="2" t="s">
        <v>185</v>
      </c>
      <c r="C185" s="3" t="s">
        <v>260</v>
      </c>
      <c r="D185" s="3">
        <v>0.5</v>
      </c>
    </row>
    <row r="186" spans="1:4" ht="33" x14ac:dyDescent="0.5">
      <c r="A186" s="12" t="s">
        <v>110</v>
      </c>
      <c r="B186" s="2" t="s">
        <v>186</v>
      </c>
      <c r="C186" s="3" t="s">
        <v>261</v>
      </c>
      <c r="D186" s="3">
        <v>0.5</v>
      </c>
    </row>
    <row r="187" spans="1:4" ht="33" x14ac:dyDescent="0.5">
      <c r="A187" s="12" t="s">
        <v>110</v>
      </c>
      <c r="B187" s="2" t="s">
        <v>187</v>
      </c>
      <c r="C187" s="3" t="s">
        <v>262</v>
      </c>
      <c r="D187" s="3">
        <v>0.5</v>
      </c>
    </row>
    <row r="188" spans="1:4" ht="33" x14ac:dyDescent="0.5">
      <c r="A188" s="12" t="s">
        <v>110</v>
      </c>
      <c r="B188" s="2" t="s">
        <v>45</v>
      </c>
      <c r="C188" s="3" t="s">
        <v>73</v>
      </c>
      <c r="D188" s="3">
        <v>0.5</v>
      </c>
    </row>
    <row r="189" spans="1:4" ht="33" x14ac:dyDescent="0.5">
      <c r="A189" s="12" t="s">
        <v>110</v>
      </c>
      <c r="B189" s="2" t="s">
        <v>188</v>
      </c>
      <c r="C189" s="3" t="s">
        <v>239</v>
      </c>
      <c r="D189" s="3">
        <v>0.5</v>
      </c>
    </row>
    <row r="190" spans="1:4" ht="33" x14ac:dyDescent="0.5">
      <c r="A190" s="12" t="s">
        <v>110</v>
      </c>
      <c r="B190" s="2" t="s">
        <v>189</v>
      </c>
      <c r="C190" s="3" t="s">
        <v>263</v>
      </c>
      <c r="D190" s="3">
        <v>0.5</v>
      </c>
    </row>
    <row r="191" spans="1:4" ht="33" x14ac:dyDescent="0.5">
      <c r="A191" s="12" t="s">
        <v>110</v>
      </c>
      <c r="B191" s="2" t="s">
        <v>190</v>
      </c>
      <c r="C191" s="3" t="s">
        <v>264</v>
      </c>
      <c r="D191" s="3">
        <v>0.5</v>
      </c>
    </row>
    <row r="192" spans="1:4" ht="33" x14ac:dyDescent="0.5">
      <c r="A192" s="12" t="s">
        <v>110</v>
      </c>
      <c r="B192" s="2" t="s">
        <v>191</v>
      </c>
      <c r="C192" s="3" t="s">
        <v>265</v>
      </c>
      <c r="D192" s="3">
        <v>0.5</v>
      </c>
    </row>
    <row r="193" spans="1:4" ht="33" x14ac:dyDescent="0.5">
      <c r="A193" s="12" t="s">
        <v>110</v>
      </c>
      <c r="B193" s="2" t="s">
        <v>192</v>
      </c>
      <c r="C193" s="3" t="s">
        <v>242</v>
      </c>
      <c r="D193" s="3">
        <v>0.5</v>
      </c>
    </row>
    <row r="194" spans="1:4" ht="33" x14ac:dyDescent="0.5">
      <c r="A194" s="12" t="s">
        <v>110</v>
      </c>
      <c r="B194" s="2" t="s">
        <v>193</v>
      </c>
      <c r="C194" s="3" t="s">
        <v>266</v>
      </c>
      <c r="D194" s="3">
        <v>0.5</v>
      </c>
    </row>
    <row r="195" spans="1:4" ht="33" x14ac:dyDescent="0.5">
      <c r="A195" s="12" t="s">
        <v>110</v>
      </c>
      <c r="B195" s="2" t="s">
        <v>194</v>
      </c>
      <c r="C195" s="3" t="s">
        <v>267</v>
      </c>
      <c r="D195" s="3">
        <v>0.5</v>
      </c>
    </row>
    <row r="196" spans="1:4" ht="33" x14ac:dyDescent="0.5">
      <c r="A196" s="12" t="s">
        <v>110</v>
      </c>
      <c r="B196" s="2" t="s">
        <v>195</v>
      </c>
      <c r="C196" s="3" t="s">
        <v>268</v>
      </c>
      <c r="D196" s="3">
        <v>0.5</v>
      </c>
    </row>
    <row r="197" spans="1:4" ht="33" x14ac:dyDescent="0.5">
      <c r="A197" s="12" t="s">
        <v>110</v>
      </c>
      <c r="B197" s="2" t="s">
        <v>196</v>
      </c>
      <c r="C197" s="3" t="s">
        <v>269</v>
      </c>
      <c r="D197" s="3">
        <v>0.5</v>
      </c>
    </row>
    <row r="198" spans="1:4" ht="24" customHeight="1" x14ac:dyDescent="0.5">
      <c r="A198" s="12" t="s">
        <v>274</v>
      </c>
      <c r="B198" s="2" t="s">
        <v>275</v>
      </c>
      <c r="C198" s="3" t="s">
        <v>430</v>
      </c>
      <c r="D198" s="3">
        <v>0.5</v>
      </c>
    </row>
    <row r="199" spans="1:4" ht="33" x14ac:dyDescent="0.5">
      <c r="A199" s="12" t="s">
        <v>274</v>
      </c>
      <c r="B199" s="2" t="s">
        <v>276</v>
      </c>
      <c r="C199" s="3" t="s">
        <v>431</v>
      </c>
      <c r="D199" s="3">
        <v>0.5</v>
      </c>
    </row>
    <row r="200" spans="1:4" ht="33" x14ac:dyDescent="0.5">
      <c r="A200" s="12" t="s">
        <v>274</v>
      </c>
      <c r="B200" s="2" t="s">
        <v>277</v>
      </c>
      <c r="C200" s="3" t="s">
        <v>432</v>
      </c>
      <c r="D200" s="3">
        <v>0.5</v>
      </c>
    </row>
    <row r="201" spans="1:4" ht="33" x14ac:dyDescent="0.5">
      <c r="A201" s="12" t="s">
        <v>274</v>
      </c>
      <c r="B201" s="2" t="s">
        <v>278</v>
      </c>
      <c r="C201" s="3" t="s">
        <v>433</v>
      </c>
      <c r="D201" s="3">
        <v>0.5</v>
      </c>
    </row>
    <row r="202" spans="1:4" ht="33" x14ac:dyDescent="0.5">
      <c r="A202" s="12" t="s">
        <v>274</v>
      </c>
      <c r="B202" s="2" t="s">
        <v>279</v>
      </c>
      <c r="C202" s="3" t="s">
        <v>434</v>
      </c>
      <c r="D202" s="3">
        <v>0.5</v>
      </c>
    </row>
    <row r="203" spans="1:4" ht="33" x14ac:dyDescent="0.5">
      <c r="A203" s="12" t="s">
        <v>274</v>
      </c>
      <c r="B203" s="2" t="s">
        <v>280</v>
      </c>
      <c r="C203" s="3" t="s">
        <v>435</v>
      </c>
      <c r="D203" s="3">
        <v>0.5</v>
      </c>
    </row>
    <row r="204" spans="1:4" ht="33" x14ac:dyDescent="0.5">
      <c r="A204" s="12" t="s">
        <v>274</v>
      </c>
      <c r="B204" s="2" t="s">
        <v>281</v>
      </c>
      <c r="C204" s="3" t="s">
        <v>436</v>
      </c>
      <c r="D204" s="3">
        <v>0.5</v>
      </c>
    </row>
    <row r="205" spans="1:4" ht="33" x14ac:dyDescent="0.5">
      <c r="A205" s="12" t="s">
        <v>274</v>
      </c>
      <c r="B205" s="2" t="s">
        <v>282</v>
      </c>
      <c r="C205" s="3" t="s">
        <v>437</v>
      </c>
      <c r="D205" s="3">
        <v>0.5</v>
      </c>
    </row>
    <row r="206" spans="1:4" ht="33" x14ac:dyDescent="0.5">
      <c r="A206" s="12" t="s">
        <v>274</v>
      </c>
      <c r="B206" s="2" t="s">
        <v>283</v>
      </c>
      <c r="C206" s="3" t="s">
        <v>438</v>
      </c>
      <c r="D206" s="3">
        <v>0.5</v>
      </c>
    </row>
    <row r="207" spans="1:4" ht="33" x14ac:dyDescent="0.5">
      <c r="A207" s="12" t="s">
        <v>274</v>
      </c>
      <c r="B207" s="2" t="s">
        <v>284</v>
      </c>
      <c r="C207" s="3" t="s">
        <v>430</v>
      </c>
      <c r="D207" s="3">
        <v>0.5</v>
      </c>
    </row>
    <row r="208" spans="1:4" ht="33" x14ac:dyDescent="0.5">
      <c r="A208" s="12" t="s">
        <v>274</v>
      </c>
      <c r="B208" s="2" t="s">
        <v>285</v>
      </c>
      <c r="C208" s="3" t="s">
        <v>439</v>
      </c>
      <c r="D208" s="3">
        <v>0.5</v>
      </c>
    </row>
    <row r="209" spans="1:4" ht="33" x14ac:dyDescent="0.5">
      <c r="A209" s="12" t="s">
        <v>274</v>
      </c>
      <c r="B209" s="2" t="s">
        <v>286</v>
      </c>
      <c r="C209" s="3" t="s">
        <v>440</v>
      </c>
      <c r="D209" s="3">
        <v>0.5</v>
      </c>
    </row>
    <row r="210" spans="1:4" ht="33" x14ac:dyDescent="0.5">
      <c r="A210" s="12" t="s">
        <v>274</v>
      </c>
      <c r="B210" s="2" t="s">
        <v>287</v>
      </c>
      <c r="C210" s="3" t="s">
        <v>441</v>
      </c>
      <c r="D210" s="3">
        <v>0.5</v>
      </c>
    </row>
    <row r="211" spans="1:4" ht="33" x14ac:dyDescent="0.5">
      <c r="A211" s="12" t="s">
        <v>274</v>
      </c>
      <c r="B211" s="2" t="s">
        <v>288</v>
      </c>
      <c r="C211" s="3" t="s">
        <v>442</v>
      </c>
      <c r="D211" s="3">
        <v>0.5</v>
      </c>
    </row>
    <row r="212" spans="1:4" ht="33" x14ac:dyDescent="0.5">
      <c r="A212" s="12" t="s">
        <v>274</v>
      </c>
      <c r="B212" s="2" t="s">
        <v>289</v>
      </c>
      <c r="C212" s="3" t="s">
        <v>443</v>
      </c>
      <c r="D212" s="3">
        <v>0.5</v>
      </c>
    </row>
    <row r="213" spans="1:4" ht="33" x14ac:dyDescent="0.5">
      <c r="A213" s="12" t="s">
        <v>274</v>
      </c>
      <c r="B213" s="2" t="s">
        <v>290</v>
      </c>
      <c r="C213" s="3" t="s">
        <v>444</v>
      </c>
      <c r="D213" s="3">
        <v>0.5</v>
      </c>
    </row>
    <row r="214" spans="1:4" ht="33" x14ac:dyDescent="0.5">
      <c r="A214" s="12" t="s">
        <v>274</v>
      </c>
      <c r="B214" s="2" t="s">
        <v>291</v>
      </c>
      <c r="C214" s="3" t="s">
        <v>445</v>
      </c>
      <c r="D214" s="3">
        <v>0.5</v>
      </c>
    </row>
    <row r="215" spans="1:4" ht="33" x14ac:dyDescent="0.5">
      <c r="A215" s="12" t="s">
        <v>274</v>
      </c>
      <c r="B215" s="2" t="s">
        <v>292</v>
      </c>
      <c r="C215" s="3" t="s">
        <v>434</v>
      </c>
      <c r="D215" s="3">
        <v>0.5</v>
      </c>
    </row>
    <row r="216" spans="1:4" ht="33" x14ac:dyDescent="0.5">
      <c r="A216" s="12" t="s">
        <v>274</v>
      </c>
      <c r="B216" s="2" t="s">
        <v>293</v>
      </c>
      <c r="C216" s="3" t="s">
        <v>446</v>
      </c>
      <c r="D216" s="3">
        <v>0.5</v>
      </c>
    </row>
    <row r="217" spans="1:4" ht="33" x14ac:dyDescent="0.5">
      <c r="A217" s="12" t="s">
        <v>274</v>
      </c>
      <c r="B217" s="2" t="s">
        <v>294</v>
      </c>
      <c r="C217" s="3" t="s">
        <v>447</v>
      </c>
      <c r="D217" s="3">
        <v>0.5</v>
      </c>
    </row>
    <row r="218" spans="1:4" ht="33" x14ac:dyDescent="0.5">
      <c r="A218" s="12" t="s">
        <v>274</v>
      </c>
      <c r="B218" s="2" t="s">
        <v>295</v>
      </c>
      <c r="C218" s="3" t="s">
        <v>448</v>
      </c>
      <c r="D218" s="3">
        <v>0.5</v>
      </c>
    </row>
    <row r="219" spans="1:4" ht="33" x14ac:dyDescent="0.5">
      <c r="A219" s="12" t="s">
        <v>274</v>
      </c>
      <c r="B219" s="2" t="s">
        <v>296</v>
      </c>
      <c r="C219" s="3" t="s">
        <v>449</v>
      </c>
      <c r="D219" s="3">
        <v>0.5</v>
      </c>
    </row>
    <row r="220" spans="1:4" ht="33" x14ac:dyDescent="0.5">
      <c r="A220" s="12" t="s">
        <v>274</v>
      </c>
      <c r="B220" s="2" t="s">
        <v>297</v>
      </c>
      <c r="C220" s="3" t="s">
        <v>450</v>
      </c>
      <c r="D220" s="3">
        <v>0.5</v>
      </c>
    </row>
    <row r="221" spans="1:4" ht="33" x14ac:dyDescent="0.5">
      <c r="A221" s="12" t="s">
        <v>274</v>
      </c>
      <c r="B221" s="2" t="s">
        <v>298</v>
      </c>
      <c r="C221" s="3" t="s">
        <v>451</v>
      </c>
      <c r="D221" s="3">
        <v>0.5</v>
      </c>
    </row>
    <row r="222" spans="1:4" ht="33" x14ac:dyDescent="0.5">
      <c r="A222" s="12" t="s">
        <v>274</v>
      </c>
      <c r="B222" s="2" t="s">
        <v>299</v>
      </c>
      <c r="C222" s="3" t="s">
        <v>452</v>
      </c>
      <c r="D222" s="3">
        <v>0.5</v>
      </c>
    </row>
    <row r="223" spans="1:4" ht="33" x14ac:dyDescent="0.5">
      <c r="A223" s="12" t="s">
        <v>274</v>
      </c>
      <c r="B223" s="2" t="s">
        <v>300</v>
      </c>
      <c r="C223" s="3" t="s">
        <v>453</v>
      </c>
      <c r="D223" s="3">
        <v>0.5</v>
      </c>
    </row>
    <row r="224" spans="1:4" ht="33" x14ac:dyDescent="0.5">
      <c r="A224" s="12" t="s">
        <v>274</v>
      </c>
      <c r="B224" s="2" t="s">
        <v>301</v>
      </c>
      <c r="C224" s="3" t="s">
        <v>454</v>
      </c>
      <c r="D224" s="3">
        <v>0.5</v>
      </c>
    </row>
    <row r="225" spans="1:4" ht="33" x14ac:dyDescent="0.5">
      <c r="A225" s="12" t="s">
        <v>274</v>
      </c>
      <c r="B225" s="2" t="s">
        <v>302</v>
      </c>
      <c r="C225" s="3" t="s">
        <v>455</v>
      </c>
      <c r="D225" s="3">
        <v>0.5</v>
      </c>
    </row>
    <row r="226" spans="1:4" ht="33" x14ac:dyDescent="0.5">
      <c r="A226" s="12" t="s">
        <v>274</v>
      </c>
      <c r="B226" s="2" t="s">
        <v>303</v>
      </c>
      <c r="C226" s="3" t="s">
        <v>456</v>
      </c>
      <c r="D226" s="3">
        <v>0.5</v>
      </c>
    </row>
    <row r="227" spans="1:4" ht="33" x14ac:dyDescent="0.5">
      <c r="A227" s="12" t="s">
        <v>274</v>
      </c>
      <c r="B227" s="2" t="s">
        <v>304</v>
      </c>
      <c r="C227" s="3" t="s">
        <v>457</v>
      </c>
      <c r="D227" s="3">
        <v>0.5</v>
      </c>
    </row>
    <row r="228" spans="1:4" ht="33" x14ac:dyDescent="0.5">
      <c r="A228" s="12" t="s">
        <v>274</v>
      </c>
      <c r="B228" s="2" t="s">
        <v>305</v>
      </c>
      <c r="C228" s="3" t="s">
        <v>458</v>
      </c>
      <c r="D228" s="3">
        <v>0.5</v>
      </c>
    </row>
    <row r="229" spans="1:4" ht="33" x14ac:dyDescent="0.5">
      <c r="A229" s="12" t="s">
        <v>274</v>
      </c>
      <c r="B229" s="2" t="s">
        <v>306</v>
      </c>
      <c r="C229" s="3" t="s">
        <v>445</v>
      </c>
      <c r="D229" s="3">
        <v>0.5</v>
      </c>
    </row>
    <row r="230" spans="1:4" ht="33" x14ac:dyDescent="0.5">
      <c r="A230" s="12" t="s">
        <v>274</v>
      </c>
      <c r="B230" s="2" t="s">
        <v>307</v>
      </c>
      <c r="C230" s="3" t="s">
        <v>459</v>
      </c>
      <c r="D230" s="3">
        <v>0.5</v>
      </c>
    </row>
    <row r="231" spans="1:4" ht="33" x14ac:dyDescent="0.5">
      <c r="A231" s="12" t="s">
        <v>274</v>
      </c>
      <c r="B231" s="2" t="s">
        <v>308</v>
      </c>
      <c r="C231" s="3" t="s">
        <v>460</v>
      </c>
      <c r="D231" s="3">
        <v>0.5</v>
      </c>
    </row>
    <row r="232" spans="1:4" ht="33" x14ac:dyDescent="0.5">
      <c r="A232" s="12" t="s">
        <v>274</v>
      </c>
      <c r="B232" s="2" t="s">
        <v>309</v>
      </c>
      <c r="C232" s="3" t="s">
        <v>461</v>
      </c>
      <c r="D232" s="3">
        <v>0.5</v>
      </c>
    </row>
    <row r="233" spans="1:4" ht="33" x14ac:dyDescent="0.5">
      <c r="A233" s="12" t="s">
        <v>274</v>
      </c>
      <c r="B233" s="2" t="s">
        <v>310</v>
      </c>
      <c r="C233" s="3" t="s">
        <v>439</v>
      </c>
      <c r="D233" s="3">
        <v>0.5</v>
      </c>
    </row>
    <row r="234" spans="1:4" ht="33" x14ac:dyDescent="0.5">
      <c r="A234" s="12" t="s">
        <v>274</v>
      </c>
      <c r="B234" s="2" t="s">
        <v>311</v>
      </c>
      <c r="C234" s="3" t="s">
        <v>430</v>
      </c>
      <c r="D234" s="3">
        <v>0.5</v>
      </c>
    </row>
    <row r="235" spans="1:4" ht="33" x14ac:dyDescent="0.5">
      <c r="A235" s="12" t="s">
        <v>274</v>
      </c>
      <c r="B235" s="2" t="s">
        <v>312</v>
      </c>
      <c r="C235" s="3" t="s">
        <v>462</v>
      </c>
      <c r="D235" s="3">
        <v>0.5</v>
      </c>
    </row>
    <row r="236" spans="1:4" ht="33" x14ac:dyDescent="0.5">
      <c r="A236" s="12" t="s">
        <v>274</v>
      </c>
      <c r="B236" s="2" t="s">
        <v>313</v>
      </c>
      <c r="C236" s="3" t="s">
        <v>463</v>
      </c>
      <c r="D236" s="3">
        <v>0.5</v>
      </c>
    </row>
    <row r="237" spans="1:4" ht="33" x14ac:dyDescent="0.5">
      <c r="A237" s="12" t="s">
        <v>274</v>
      </c>
      <c r="B237" s="2" t="s">
        <v>314</v>
      </c>
      <c r="C237" s="3" t="s">
        <v>464</v>
      </c>
      <c r="D237" s="3">
        <v>0.5</v>
      </c>
    </row>
    <row r="238" spans="1:4" ht="33" x14ac:dyDescent="0.5">
      <c r="A238" s="12" t="s">
        <v>274</v>
      </c>
      <c r="B238" s="2" t="s">
        <v>315</v>
      </c>
      <c r="C238" s="3" t="s">
        <v>465</v>
      </c>
      <c r="D238" s="3">
        <v>0.5</v>
      </c>
    </row>
    <row r="239" spans="1:4" ht="33" x14ac:dyDescent="0.5">
      <c r="A239" s="12" t="s">
        <v>274</v>
      </c>
      <c r="B239" s="2" t="s">
        <v>316</v>
      </c>
      <c r="C239" s="3" t="s">
        <v>466</v>
      </c>
      <c r="D239" s="3">
        <v>0.5</v>
      </c>
    </row>
    <row r="240" spans="1:4" ht="33" x14ac:dyDescent="0.5">
      <c r="A240" s="12" t="s">
        <v>274</v>
      </c>
      <c r="B240" s="2" t="s">
        <v>317</v>
      </c>
      <c r="C240" s="3" t="s">
        <v>467</v>
      </c>
      <c r="D240" s="3">
        <v>0.5</v>
      </c>
    </row>
    <row r="241" spans="1:4" ht="33" x14ac:dyDescent="0.5">
      <c r="A241" s="12" t="s">
        <v>274</v>
      </c>
      <c r="B241" s="2" t="s">
        <v>318</v>
      </c>
      <c r="C241" s="3" t="s">
        <v>468</v>
      </c>
      <c r="D241" s="3">
        <v>0.5</v>
      </c>
    </row>
    <row r="242" spans="1:4" ht="33" x14ac:dyDescent="0.5">
      <c r="A242" s="12" t="s">
        <v>274</v>
      </c>
      <c r="B242" s="2" t="s">
        <v>319</v>
      </c>
      <c r="C242" s="3" t="s">
        <v>469</v>
      </c>
      <c r="D242" s="3">
        <v>0.5</v>
      </c>
    </row>
    <row r="243" spans="1:4" ht="33" x14ac:dyDescent="0.5">
      <c r="A243" s="12" t="s">
        <v>274</v>
      </c>
      <c r="B243" s="2" t="s">
        <v>320</v>
      </c>
      <c r="C243" s="3" t="s">
        <v>470</v>
      </c>
      <c r="D243" s="3">
        <v>0.5</v>
      </c>
    </row>
    <row r="244" spans="1:4" ht="33" x14ac:dyDescent="0.5">
      <c r="A244" s="12" t="s">
        <v>274</v>
      </c>
      <c r="B244" s="2" t="s">
        <v>321</v>
      </c>
      <c r="C244" s="3" t="s">
        <v>471</v>
      </c>
      <c r="D244" s="3">
        <v>0.5</v>
      </c>
    </row>
    <row r="245" spans="1:4" ht="33" x14ac:dyDescent="0.5">
      <c r="A245" s="12" t="s">
        <v>274</v>
      </c>
      <c r="B245" s="2" t="s">
        <v>322</v>
      </c>
      <c r="C245" s="3" t="s">
        <v>472</v>
      </c>
      <c r="D245" s="3">
        <v>0.5</v>
      </c>
    </row>
    <row r="246" spans="1:4" ht="33" x14ac:dyDescent="0.5">
      <c r="A246" s="12" t="s">
        <v>274</v>
      </c>
      <c r="B246" s="2" t="s">
        <v>323</v>
      </c>
      <c r="C246" s="3" t="s">
        <v>473</v>
      </c>
      <c r="D246" s="3">
        <v>0.5</v>
      </c>
    </row>
    <row r="247" spans="1:4" ht="33" x14ac:dyDescent="0.5">
      <c r="A247" s="12" t="s">
        <v>274</v>
      </c>
      <c r="B247" s="2" t="s">
        <v>324</v>
      </c>
      <c r="C247" s="3" t="s">
        <v>474</v>
      </c>
      <c r="D247" s="3">
        <v>0.5</v>
      </c>
    </row>
    <row r="248" spans="1:4" ht="33" x14ac:dyDescent="0.5">
      <c r="A248" s="12" t="s">
        <v>274</v>
      </c>
      <c r="B248" s="2" t="s">
        <v>325</v>
      </c>
      <c r="C248" s="3" t="s">
        <v>475</v>
      </c>
      <c r="D248" s="3">
        <v>0.5</v>
      </c>
    </row>
    <row r="249" spans="1:4" ht="33" x14ac:dyDescent="0.5">
      <c r="A249" s="12" t="s">
        <v>274</v>
      </c>
      <c r="B249" s="2" t="s">
        <v>326</v>
      </c>
      <c r="C249" s="3" t="s">
        <v>476</v>
      </c>
      <c r="D249" s="3">
        <v>0.5</v>
      </c>
    </row>
    <row r="250" spans="1:4" ht="33" x14ac:dyDescent="0.5">
      <c r="A250" s="12" t="s">
        <v>274</v>
      </c>
      <c r="B250" s="2" t="s">
        <v>327</v>
      </c>
      <c r="C250" s="3" t="s">
        <v>477</v>
      </c>
      <c r="D250" s="3">
        <v>0.5</v>
      </c>
    </row>
    <row r="251" spans="1:4" ht="33" x14ac:dyDescent="0.5">
      <c r="A251" s="12" t="s">
        <v>274</v>
      </c>
      <c r="B251" s="2" t="s">
        <v>328</v>
      </c>
      <c r="C251" s="3" t="s">
        <v>478</v>
      </c>
      <c r="D251" s="3">
        <v>0.5</v>
      </c>
    </row>
    <row r="252" spans="1:4" ht="33" x14ac:dyDescent="0.5">
      <c r="A252" s="12" t="s">
        <v>274</v>
      </c>
      <c r="B252" s="2" t="s">
        <v>329</v>
      </c>
      <c r="C252" s="3" t="s">
        <v>479</v>
      </c>
      <c r="D252" s="3">
        <v>0.5</v>
      </c>
    </row>
    <row r="253" spans="1:4" ht="33" x14ac:dyDescent="0.5">
      <c r="A253" s="12" t="s">
        <v>274</v>
      </c>
      <c r="B253" s="2" t="s">
        <v>330</v>
      </c>
      <c r="C253" s="3" t="s">
        <v>480</v>
      </c>
      <c r="D253" s="3">
        <v>0.5</v>
      </c>
    </row>
    <row r="254" spans="1:4" ht="33" x14ac:dyDescent="0.5">
      <c r="A254" s="12" t="s">
        <v>274</v>
      </c>
      <c r="B254" s="2" t="s">
        <v>331</v>
      </c>
      <c r="C254" s="3" t="s">
        <v>481</v>
      </c>
      <c r="D254" s="3">
        <v>0.5</v>
      </c>
    </row>
    <row r="255" spans="1:4" ht="33" x14ac:dyDescent="0.5">
      <c r="A255" s="12" t="s">
        <v>274</v>
      </c>
      <c r="B255" s="2" t="s">
        <v>332</v>
      </c>
      <c r="C255" s="3" t="s">
        <v>482</v>
      </c>
      <c r="D255" s="3">
        <v>0.5</v>
      </c>
    </row>
    <row r="256" spans="1:4" ht="33" x14ac:dyDescent="0.5">
      <c r="A256" s="12" t="s">
        <v>274</v>
      </c>
      <c r="B256" s="2" t="s">
        <v>333</v>
      </c>
      <c r="C256" s="3" t="s">
        <v>483</v>
      </c>
      <c r="D256" s="3">
        <v>0.5</v>
      </c>
    </row>
    <row r="257" spans="1:4" ht="33" x14ac:dyDescent="0.5">
      <c r="A257" s="12" t="s">
        <v>274</v>
      </c>
      <c r="B257" s="2" t="s">
        <v>334</v>
      </c>
      <c r="C257" s="3" t="s">
        <v>484</v>
      </c>
      <c r="D257" s="3">
        <v>0.5</v>
      </c>
    </row>
    <row r="258" spans="1:4" ht="33" x14ac:dyDescent="0.5">
      <c r="A258" s="12" t="s">
        <v>274</v>
      </c>
      <c r="B258" s="2" t="s">
        <v>335</v>
      </c>
      <c r="C258" s="3" t="s">
        <v>485</v>
      </c>
      <c r="D258" s="3">
        <v>0.5</v>
      </c>
    </row>
    <row r="259" spans="1:4" ht="33" x14ac:dyDescent="0.5">
      <c r="A259" s="12" t="s">
        <v>274</v>
      </c>
      <c r="B259" s="2" t="s">
        <v>336</v>
      </c>
      <c r="C259" s="3" t="s">
        <v>486</v>
      </c>
      <c r="D259" s="3">
        <v>0.5</v>
      </c>
    </row>
    <row r="260" spans="1:4" ht="33" x14ac:dyDescent="0.5">
      <c r="A260" s="12" t="s">
        <v>274</v>
      </c>
      <c r="B260" s="2" t="s">
        <v>337</v>
      </c>
      <c r="C260" s="3" t="s">
        <v>487</v>
      </c>
      <c r="D260" s="3">
        <v>0.5</v>
      </c>
    </row>
    <row r="261" spans="1:4" ht="33" x14ac:dyDescent="0.5">
      <c r="A261" s="12" t="s">
        <v>274</v>
      </c>
      <c r="B261" s="2" t="s">
        <v>338</v>
      </c>
      <c r="C261" s="3" t="s">
        <v>488</v>
      </c>
      <c r="D261" s="3">
        <v>0.5</v>
      </c>
    </row>
    <row r="262" spans="1:4" ht="33" x14ac:dyDescent="0.5">
      <c r="A262" s="12" t="s">
        <v>274</v>
      </c>
      <c r="B262" s="2" t="s">
        <v>339</v>
      </c>
      <c r="C262" s="3" t="s">
        <v>489</v>
      </c>
      <c r="D262" s="3">
        <v>0.5</v>
      </c>
    </row>
    <row r="263" spans="1:4" ht="33" x14ac:dyDescent="0.5">
      <c r="A263" s="12" t="s">
        <v>274</v>
      </c>
      <c r="B263" s="2" t="s">
        <v>340</v>
      </c>
      <c r="C263" s="3" t="s">
        <v>490</v>
      </c>
      <c r="D263" s="3">
        <v>0.5</v>
      </c>
    </row>
    <row r="264" spans="1:4" ht="33" x14ac:dyDescent="0.5">
      <c r="A264" s="12" t="s">
        <v>274</v>
      </c>
      <c r="B264" s="2" t="s">
        <v>341</v>
      </c>
      <c r="C264" s="3" t="s">
        <v>491</v>
      </c>
      <c r="D264" s="3">
        <v>0.5</v>
      </c>
    </row>
    <row r="265" spans="1:4" ht="33" x14ac:dyDescent="0.5">
      <c r="A265" s="12" t="s">
        <v>274</v>
      </c>
      <c r="B265" s="2" t="s">
        <v>342</v>
      </c>
      <c r="C265" s="3" t="s">
        <v>492</v>
      </c>
      <c r="D265" s="3">
        <v>0.5</v>
      </c>
    </row>
    <row r="266" spans="1:4" ht="33" x14ac:dyDescent="0.5">
      <c r="A266" s="12" t="s">
        <v>274</v>
      </c>
      <c r="B266" s="2" t="s">
        <v>343</v>
      </c>
      <c r="C266" s="3" t="s">
        <v>493</v>
      </c>
      <c r="D266" s="3">
        <v>0.5</v>
      </c>
    </row>
    <row r="267" spans="1:4" ht="33" x14ac:dyDescent="0.5">
      <c r="A267" s="12" t="s">
        <v>274</v>
      </c>
      <c r="B267" s="2" t="s">
        <v>344</v>
      </c>
      <c r="C267" s="3" t="s">
        <v>494</v>
      </c>
      <c r="D267" s="3">
        <v>0.5</v>
      </c>
    </row>
    <row r="268" spans="1:4" ht="33" x14ac:dyDescent="0.5">
      <c r="A268" s="12" t="s">
        <v>274</v>
      </c>
      <c r="B268" s="2" t="s">
        <v>345</v>
      </c>
      <c r="C268" s="3" t="s">
        <v>495</v>
      </c>
      <c r="D268" s="3">
        <v>0.5</v>
      </c>
    </row>
    <row r="269" spans="1:4" ht="33" x14ac:dyDescent="0.5">
      <c r="A269" s="12" t="s">
        <v>274</v>
      </c>
      <c r="B269" s="2" t="s">
        <v>346</v>
      </c>
      <c r="C269" s="3" t="s">
        <v>496</v>
      </c>
      <c r="D269" s="3">
        <v>0.5</v>
      </c>
    </row>
    <row r="270" spans="1:4" ht="33" x14ac:dyDescent="0.5">
      <c r="A270" s="12" t="s">
        <v>274</v>
      </c>
      <c r="B270" s="2" t="s">
        <v>347</v>
      </c>
      <c r="C270" s="3" t="s">
        <v>497</v>
      </c>
      <c r="D270" s="3">
        <v>0.5</v>
      </c>
    </row>
    <row r="271" spans="1:4" ht="33" x14ac:dyDescent="0.5">
      <c r="A271" s="12" t="s">
        <v>274</v>
      </c>
      <c r="B271" s="2" t="s">
        <v>348</v>
      </c>
      <c r="C271" s="3" t="s">
        <v>498</v>
      </c>
      <c r="D271" s="3">
        <v>0.5</v>
      </c>
    </row>
    <row r="272" spans="1:4" ht="33" x14ac:dyDescent="0.5">
      <c r="A272" s="12" t="s">
        <v>274</v>
      </c>
      <c r="B272" s="2" t="s">
        <v>349</v>
      </c>
      <c r="C272" s="3" t="s">
        <v>499</v>
      </c>
      <c r="D272" s="3">
        <v>0.5</v>
      </c>
    </row>
    <row r="273" spans="1:4" ht="33" x14ac:dyDescent="0.5">
      <c r="A273" s="12" t="s">
        <v>274</v>
      </c>
      <c r="B273" s="2" t="s">
        <v>350</v>
      </c>
      <c r="C273" s="3" t="s">
        <v>500</v>
      </c>
      <c r="D273" s="3">
        <v>0.5</v>
      </c>
    </row>
    <row r="274" spans="1:4" ht="33" x14ac:dyDescent="0.5">
      <c r="A274" s="12" t="s">
        <v>274</v>
      </c>
      <c r="B274" s="2" t="s">
        <v>351</v>
      </c>
      <c r="C274" s="3" t="s">
        <v>459</v>
      </c>
      <c r="D274" s="3">
        <v>0.5</v>
      </c>
    </row>
    <row r="275" spans="1:4" ht="33" x14ac:dyDescent="0.5">
      <c r="A275" s="12" t="s">
        <v>274</v>
      </c>
      <c r="B275" s="2" t="s">
        <v>352</v>
      </c>
      <c r="C275" s="3" t="s">
        <v>501</v>
      </c>
      <c r="D275" s="3">
        <v>0.5</v>
      </c>
    </row>
    <row r="276" spans="1:4" ht="33" x14ac:dyDescent="0.5">
      <c r="A276" s="12" t="s">
        <v>274</v>
      </c>
      <c r="B276" s="2" t="s">
        <v>353</v>
      </c>
      <c r="C276" s="3" t="s">
        <v>502</v>
      </c>
      <c r="D276" s="3">
        <v>0.5</v>
      </c>
    </row>
    <row r="277" spans="1:4" ht="33" x14ac:dyDescent="0.5">
      <c r="A277" s="12" t="s">
        <v>274</v>
      </c>
      <c r="B277" s="2" t="s">
        <v>354</v>
      </c>
      <c r="C277" s="3" t="s">
        <v>503</v>
      </c>
      <c r="D277" s="3">
        <v>0.5</v>
      </c>
    </row>
    <row r="278" spans="1:4" ht="33" x14ac:dyDescent="0.5">
      <c r="A278" s="12" t="s">
        <v>274</v>
      </c>
      <c r="B278" s="2" t="s">
        <v>355</v>
      </c>
      <c r="C278" s="3" t="s">
        <v>504</v>
      </c>
      <c r="D278" s="3">
        <v>0.5</v>
      </c>
    </row>
    <row r="279" spans="1:4" ht="33" x14ac:dyDescent="0.5">
      <c r="A279" s="12" t="s">
        <v>274</v>
      </c>
      <c r="B279" s="2" t="s">
        <v>356</v>
      </c>
      <c r="C279" s="3" t="s">
        <v>505</v>
      </c>
      <c r="D279" s="3">
        <v>0.5</v>
      </c>
    </row>
    <row r="280" spans="1:4" ht="33" x14ac:dyDescent="0.5">
      <c r="A280" s="12" t="s">
        <v>274</v>
      </c>
      <c r="B280" s="2" t="s">
        <v>357</v>
      </c>
      <c r="C280" s="3" t="s">
        <v>506</v>
      </c>
      <c r="D280" s="3">
        <v>0.5</v>
      </c>
    </row>
    <row r="281" spans="1:4" ht="33" x14ac:dyDescent="0.5">
      <c r="A281" s="12" t="s">
        <v>274</v>
      </c>
      <c r="B281" s="2" t="s">
        <v>358</v>
      </c>
      <c r="C281" s="3" t="s">
        <v>507</v>
      </c>
      <c r="D281" s="3">
        <v>0.5</v>
      </c>
    </row>
    <row r="282" spans="1:4" ht="33" x14ac:dyDescent="0.5">
      <c r="A282" s="12" t="s">
        <v>274</v>
      </c>
      <c r="B282" s="2" t="s">
        <v>359</v>
      </c>
      <c r="C282" s="3" t="s">
        <v>508</v>
      </c>
      <c r="D282" s="3">
        <v>0.5</v>
      </c>
    </row>
    <row r="283" spans="1:4" ht="33" x14ac:dyDescent="0.5">
      <c r="A283" s="12" t="s">
        <v>274</v>
      </c>
      <c r="B283" s="2" t="s">
        <v>360</v>
      </c>
      <c r="C283" s="3" t="s">
        <v>509</v>
      </c>
      <c r="D283" s="3">
        <v>0.5</v>
      </c>
    </row>
    <row r="284" spans="1:4" ht="33" x14ac:dyDescent="0.5">
      <c r="A284" s="12" t="s">
        <v>274</v>
      </c>
      <c r="B284" s="2" t="s">
        <v>361</v>
      </c>
      <c r="C284" s="3" t="s">
        <v>510</v>
      </c>
      <c r="D284" s="3">
        <v>0.5</v>
      </c>
    </row>
    <row r="285" spans="1:4" ht="33" x14ac:dyDescent="0.5">
      <c r="A285" s="12" t="s">
        <v>274</v>
      </c>
      <c r="B285" s="2" t="s">
        <v>362</v>
      </c>
      <c r="C285" s="3" t="s">
        <v>511</v>
      </c>
      <c r="D285" s="3">
        <v>0.5</v>
      </c>
    </row>
    <row r="286" spans="1:4" ht="33" x14ac:dyDescent="0.5">
      <c r="A286" s="12" t="s">
        <v>274</v>
      </c>
      <c r="B286" s="2" t="s">
        <v>363</v>
      </c>
      <c r="C286" s="3" t="s">
        <v>512</v>
      </c>
      <c r="D286" s="3">
        <v>0.5</v>
      </c>
    </row>
    <row r="287" spans="1:4" ht="33" x14ac:dyDescent="0.5">
      <c r="A287" s="12" t="s">
        <v>274</v>
      </c>
      <c r="B287" s="2" t="s">
        <v>364</v>
      </c>
      <c r="C287" s="3" t="s">
        <v>513</v>
      </c>
      <c r="D287" s="3">
        <v>0.5</v>
      </c>
    </row>
    <row r="288" spans="1:4" ht="33" x14ac:dyDescent="0.5">
      <c r="A288" s="12" t="s">
        <v>274</v>
      </c>
      <c r="B288" s="2" t="s">
        <v>365</v>
      </c>
      <c r="C288" s="3" t="s">
        <v>514</v>
      </c>
      <c r="D288" s="3">
        <v>0.5</v>
      </c>
    </row>
    <row r="289" spans="1:4" ht="33" x14ac:dyDescent="0.5">
      <c r="A289" s="12" t="s">
        <v>274</v>
      </c>
      <c r="B289" s="2" t="s">
        <v>366</v>
      </c>
      <c r="C289" s="3" t="s">
        <v>515</v>
      </c>
      <c r="D289" s="3">
        <v>0.5</v>
      </c>
    </row>
    <row r="290" spans="1:4" ht="33" x14ac:dyDescent="0.5">
      <c r="A290" s="12" t="s">
        <v>274</v>
      </c>
      <c r="B290" s="2" t="s">
        <v>367</v>
      </c>
      <c r="C290" s="3" t="s">
        <v>516</v>
      </c>
      <c r="D290" s="3">
        <v>0.5</v>
      </c>
    </row>
    <row r="291" spans="1:4" ht="33" x14ac:dyDescent="0.5">
      <c r="A291" s="12" t="s">
        <v>274</v>
      </c>
      <c r="B291" s="2" t="s">
        <v>368</v>
      </c>
      <c r="C291" s="3" t="s">
        <v>517</v>
      </c>
      <c r="D291" s="3">
        <v>0.5</v>
      </c>
    </row>
    <row r="292" spans="1:4" ht="33" x14ac:dyDescent="0.5">
      <c r="A292" s="12" t="s">
        <v>274</v>
      </c>
      <c r="B292" s="2" t="s">
        <v>369</v>
      </c>
      <c r="C292" s="3" t="s">
        <v>518</v>
      </c>
      <c r="D292" s="3">
        <v>0.5</v>
      </c>
    </row>
    <row r="293" spans="1:4" ht="33" x14ac:dyDescent="0.5">
      <c r="A293" s="12" t="s">
        <v>274</v>
      </c>
      <c r="B293" s="2" t="s">
        <v>370</v>
      </c>
      <c r="C293" s="3" t="s">
        <v>519</v>
      </c>
      <c r="D293" s="3">
        <v>0.5</v>
      </c>
    </row>
    <row r="294" spans="1:4" ht="33" x14ac:dyDescent="0.5">
      <c r="A294" s="12" t="s">
        <v>274</v>
      </c>
      <c r="B294" s="2" t="s">
        <v>371</v>
      </c>
      <c r="C294" s="3" t="s">
        <v>520</v>
      </c>
      <c r="D294" s="3">
        <v>0.5</v>
      </c>
    </row>
    <row r="295" spans="1:4" ht="33" x14ac:dyDescent="0.5">
      <c r="A295" s="12" t="s">
        <v>274</v>
      </c>
      <c r="B295" s="2" t="s">
        <v>372</v>
      </c>
      <c r="C295" s="3" t="s">
        <v>521</v>
      </c>
      <c r="D295" s="3">
        <v>0.5</v>
      </c>
    </row>
    <row r="296" spans="1:4" ht="33" x14ac:dyDescent="0.5">
      <c r="A296" s="12" t="s">
        <v>274</v>
      </c>
      <c r="B296" s="2" t="s">
        <v>373</v>
      </c>
      <c r="C296" s="3" t="s">
        <v>522</v>
      </c>
      <c r="D296" s="3">
        <v>0.5</v>
      </c>
    </row>
    <row r="297" spans="1:4" ht="33" x14ac:dyDescent="0.5">
      <c r="A297" s="12" t="s">
        <v>274</v>
      </c>
      <c r="B297" s="2" t="s">
        <v>374</v>
      </c>
      <c r="C297" s="3" t="s">
        <v>523</v>
      </c>
      <c r="D297" s="3">
        <v>0.5</v>
      </c>
    </row>
    <row r="298" spans="1:4" ht="33" x14ac:dyDescent="0.5">
      <c r="A298" s="12" t="s">
        <v>274</v>
      </c>
      <c r="B298" s="2" t="s">
        <v>375</v>
      </c>
      <c r="C298" s="3" t="s">
        <v>524</v>
      </c>
      <c r="D298" s="3">
        <v>0.5</v>
      </c>
    </row>
    <row r="299" spans="1:4" ht="33" x14ac:dyDescent="0.5">
      <c r="A299" s="12" t="s">
        <v>274</v>
      </c>
      <c r="B299" s="2" t="s">
        <v>376</v>
      </c>
      <c r="C299" s="3" t="s">
        <v>525</v>
      </c>
      <c r="D299" s="3">
        <v>0.5</v>
      </c>
    </row>
    <row r="300" spans="1:4" ht="33" x14ac:dyDescent="0.5">
      <c r="A300" s="12" t="s">
        <v>274</v>
      </c>
      <c r="B300" s="2" t="s">
        <v>377</v>
      </c>
      <c r="C300" s="3" t="s">
        <v>526</v>
      </c>
      <c r="D300" s="3">
        <v>0.5</v>
      </c>
    </row>
    <row r="301" spans="1:4" ht="33" x14ac:dyDescent="0.5">
      <c r="A301" s="12" t="s">
        <v>274</v>
      </c>
      <c r="B301" s="2" t="s">
        <v>378</v>
      </c>
      <c r="C301" s="3" t="s">
        <v>527</v>
      </c>
      <c r="D301" s="3">
        <v>0.5</v>
      </c>
    </row>
    <row r="302" spans="1:4" ht="33" x14ac:dyDescent="0.5">
      <c r="A302" s="12" t="s">
        <v>274</v>
      </c>
      <c r="B302" s="2" t="s">
        <v>379</v>
      </c>
      <c r="C302" s="3" t="s">
        <v>528</v>
      </c>
      <c r="D302" s="3">
        <v>0.5</v>
      </c>
    </row>
    <row r="303" spans="1:4" ht="33" x14ac:dyDescent="0.5">
      <c r="A303" s="12" t="s">
        <v>274</v>
      </c>
      <c r="B303" s="2" t="s">
        <v>380</v>
      </c>
      <c r="C303" s="3" t="s">
        <v>529</v>
      </c>
      <c r="D303" s="3">
        <v>0.5</v>
      </c>
    </row>
    <row r="304" spans="1:4" ht="33" x14ac:dyDescent="0.5">
      <c r="A304" s="12" t="s">
        <v>274</v>
      </c>
      <c r="B304" s="2" t="s">
        <v>381</v>
      </c>
      <c r="C304" s="3" t="s">
        <v>530</v>
      </c>
      <c r="D304" s="3">
        <v>0.5</v>
      </c>
    </row>
    <row r="305" spans="1:4" ht="33" x14ac:dyDescent="0.5">
      <c r="A305" s="12" t="s">
        <v>274</v>
      </c>
      <c r="B305" s="2" t="s">
        <v>382</v>
      </c>
      <c r="C305" s="3" t="s">
        <v>531</v>
      </c>
      <c r="D305" s="3">
        <v>0.5</v>
      </c>
    </row>
    <row r="306" spans="1:4" ht="33" x14ac:dyDescent="0.5">
      <c r="A306" s="12" t="s">
        <v>274</v>
      </c>
      <c r="B306" s="2" t="s">
        <v>383</v>
      </c>
      <c r="C306" s="3" t="s">
        <v>532</v>
      </c>
      <c r="D306" s="3">
        <v>0.5</v>
      </c>
    </row>
    <row r="307" spans="1:4" ht="33" x14ac:dyDescent="0.5">
      <c r="A307" s="12" t="s">
        <v>274</v>
      </c>
      <c r="B307" s="2" t="s">
        <v>384</v>
      </c>
      <c r="C307" s="3" t="s">
        <v>533</v>
      </c>
      <c r="D307" s="3">
        <v>0.5</v>
      </c>
    </row>
    <row r="308" spans="1:4" ht="33" x14ac:dyDescent="0.5">
      <c r="A308" s="12" t="s">
        <v>274</v>
      </c>
      <c r="B308" s="2" t="s">
        <v>385</v>
      </c>
      <c r="C308" s="3" t="s">
        <v>534</v>
      </c>
      <c r="D308" s="3">
        <v>0.5</v>
      </c>
    </row>
    <row r="309" spans="1:4" ht="33" x14ac:dyDescent="0.5">
      <c r="A309" s="12" t="s">
        <v>274</v>
      </c>
      <c r="B309" s="2" t="s">
        <v>386</v>
      </c>
      <c r="C309" s="3" t="s">
        <v>457</v>
      </c>
      <c r="D309" s="3">
        <v>0.5</v>
      </c>
    </row>
    <row r="310" spans="1:4" ht="33" x14ac:dyDescent="0.5">
      <c r="A310" s="12" t="s">
        <v>274</v>
      </c>
      <c r="B310" s="2" t="s">
        <v>387</v>
      </c>
      <c r="C310" s="3" t="s">
        <v>535</v>
      </c>
      <c r="D310" s="3">
        <v>0.5</v>
      </c>
    </row>
    <row r="311" spans="1:4" ht="33" x14ac:dyDescent="0.5">
      <c r="A311" s="12" t="s">
        <v>274</v>
      </c>
      <c r="B311" s="2" t="s">
        <v>388</v>
      </c>
      <c r="C311" s="3" t="s">
        <v>536</v>
      </c>
      <c r="D311" s="3">
        <v>0.5</v>
      </c>
    </row>
    <row r="312" spans="1:4" ht="33" x14ac:dyDescent="0.5">
      <c r="A312" s="12" t="s">
        <v>274</v>
      </c>
      <c r="B312" s="2" t="s">
        <v>389</v>
      </c>
      <c r="C312" s="3" t="s">
        <v>537</v>
      </c>
      <c r="D312" s="3">
        <v>0.5</v>
      </c>
    </row>
    <row r="313" spans="1:4" ht="33" x14ac:dyDescent="0.5">
      <c r="A313" s="12" t="s">
        <v>274</v>
      </c>
      <c r="B313" s="2" t="s">
        <v>390</v>
      </c>
      <c r="C313" s="3" t="s">
        <v>537</v>
      </c>
      <c r="D313" s="3">
        <v>0.5</v>
      </c>
    </row>
    <row r="314" spans="1:4" ht="33" x14ac:dyDescent="0.5">
      <c r="A314" s="12" t="s">
        <v>274</v>
      </c>
      <c r="B314" s="2" t="s">
        <v>391</v>
      </c>
      <c r="C314" s="3" t="s">
        <v>538</v>
      </c>
      <c r="D314" s="3">
        <v>0.5</v>
      </c>
    </row>
    <row r="315" spans="1:4" ht="33" x14ac:dyDescent="0.5">
      <c r="A315" s="12" t="s">
        <v>274</v>
      </c>
      <c r="B315" s="2" t="s">
        <v>392</v>
      </c>
      <c r="C315" s="3" t="s">
        <v>539</v>
      </c>
      <c r="D315" s="3">
        <v>0.5</v>
      </c>
    </row>
    <row r="316" spans="1:4" ht="33" x14ac:dyDescent="0.5">
      <c r="A316" s="12" t="s">
        <v>274</v>
      </c>
      <c r="B316" s="2" t="s">
        <v>393</v>
      </c>
      <c r="C316" s="3" t="s">
        <v>540</v>
      </c>
      <c r="D316" s="3">
        <v>0.5</v>
      </c>
    </row>
    <row r="317" spans="1:4" ht="33" x14ac:dyDescent="0.5">
      <c r="A317" s="12" t="s">
        <v>274</v>
      </c>
      <c r="B317" s="2" t="s">
        <v>394</v>
      </c>
      <c r="C317" s="3" t="s">
        <v>541</v>
      </c>
      <c r="D317" s="3">
        <v>0.5</v>
      </c>
    </row>
    <row r="318" spans="1:4" ht="33" x14ac:dyDescent="0.5">
      <c r="A318" s="12" t="s">
        <v>274</v>
      </c>
      <c r="B318" s="2" t="s">
        <v>395</v>
      </c>
      <c r="C318" s="3" t="s">
        <v>542</v>
      </c>
      <c r="D318" s="3">
        <v>0.5</v>
      </c>
    </row>
    <row r="319" spans="1:4" ht="33" x14ac:dyDescent="0.5">
      <c r="A319" s="12" t="s">
        <v>274</v>
      </c>
      <c r="B319" s="2" t="s">
        <v>396</v>
      </c>
      <c r="C319" s="3" t="s">
        <v>566</v>
      </c>
      <c r="D319" s="3">
        <v>0.5</v>
      </c>
    </row>
    <row r="320" spans="1:4" ht="33" x14ac:dyDescent="0.5">
      <c r="A320" s="12" t="s">
        <v>274</v>
      </c>
      <c r="B320" s="2" t="s">
        <v>397</v>
      </c>
      <c r="C320" s="3" t="s">
        <v>567</v>
      </c>
      <c r="D320" s="3">
        <v>0.5</v>
      </c>
    </row>
    <row r="321" spans="1:4" ht="33" x14ac:dyDescent="0.5">
      <c r="A321" s="12" t="s">
        <v>274</v>
      </c>
      <c r="B321" s="2" t="s">
        <v>398</v>
      </c>
      <c r="C321" s="3" t="s">
        <v>543</v>
      </c>
      <c r="D321" s="3">
        <v>0.5</v>
      </c>
    </row>
    <row r="322" spans="1:4" ht="33" x14ac:dyDescent="0.5">
      <c r="A322" s="12" t="s">
        <v>274</v>
      </c>
      <c r="B322" s="2" t="s">
        <v>399</v>
      </c>
      <c r="C322" s="3" t="s">
        <v>522</v>
      </c>
      <c r="D322" s="3">
        <v>0.5</v>
      </c>
    </row>
    <row r="323" spans="1:4" ht="33" x14ac:dyDescent="0.5">
      <c r="A323" s="12" t="s">
        <v>274</v>
      </c>
      <c r="B323" s="2" t="s">
        <v>400</v>
      </c>
      <c r="C323" s="3" t="s">
        <v>523</v>
      </c>
      <c r="D323" s="3">
        <v>0.5</v>
      </c>
    </row>
    <row r="324" spans="1:4" ht="33" x14ac:dyDescent="0.5">
      <c r="A324" s="12" t="s">
        <v>274</v>
      </c>
      <c r="B324" s="2" t="s">
        <v>401</v>
      </c>
      <c r="C324" s="3" t="s">
        <v>525</v>
      </c>
      <c r="D324" s="3">
        <v>0.5</v>
      </c>
    </row>
    <row r="325" spans="1:4" ht="33" x14ac:dyDescent="0.5">
      <c r="A325" s="12" t="s">
        <v>274</v>
      </c>
      <c r="B325" s="2" t="s">
        <v>402</v>
      </c>
      <c r="C325" s="3" t="s">
        <v>544</v>
      </c>
      <c r="D325" s="3">
        <v>0.5</v>
      </c>
    </row>
    <row r="326" spans="1:4" ht="33" x14ac:dyDescent="0.5">
      <c r="A326" s="12" t="s">
        <v>274</v>
      </c>
      <c r="B326" s="2" t="s">
        <v>403</v>
      </c>
      <c r="C326" s="3" t="s">
        <v>545</v>
      </c>
      <c r="D326" s="3">
        <v>0.5</v>
      </c>
    </row>
    <row r="327" spans="1:4" ht="33" x14ac:dyDescent="0.5">
      <c r="A327" s="12" t="s">
        <v>274</v>
      </c>
      <c r="B327" s="2" t="s">
        <v>404</v>
      </c>
      <c r="C327" s="3" t="s">
        <v>546</v>
      </c>
      <c r="D327" s="3">
        <v>0.5</v>
      </c>
    </row>
    <row r="328" spans="1:4" ht="33" x14ac:dyDescent="0.5">
      <c r="A328" s="12" t="s">
        <v>274</v>
      </c>
      <c r="B328" s="2" t="s">
        <v>405</v>
      </c>
      <c r="C328" s="3" t="s">
        <v>547</v>
      </c>
      <c r="D328" s="3">
        <v>0.5</v>
      </c>
    </row>
    <row r="329" spans="1:4" ht="33" x14ac:dyDescent="0.5">
      <c r="A329" s="12" t="s">
        <v>274</v>
      </c>
      <c r="B329" s="2" t="s">
        <v>406</v>
      </c>
      <c r="C329" s="3" t="s">
        <v>548</v>
      </c>
      <c r="D329" s="3">
        <v>0.5</v>
      </c>
    </row>
    <row r="330" spans="1:4" ht="33" x14ac:dyDescent="0.5">
      <c r="A330" s="12" t="s">
        <v>274</v>
      </c>
      <c r="B330" s="2" t="s">
        <v>407</v>
      </c>
      <c r="C330" s="3" t="s">
        <v>549</v>
      </c>
      <c r="D330" s="3">
        <v>0.5</v>
      </c>
    </row>
    <row r="331" spans="1:4" ht="33" x14ac:dyDescent="0.5">
      <c r="A331" s="12" t="s">
        <v>274</v>
      </c>
      <c r="B331" s="2" t="s">
        <v>408</v>
      </c>
      <c r="C331" s="3" t="s">
        <v>550</v>
      </c>
      <c r="D331" s="3">
        <v>0.5</v>
      </c>
    </row>
    <row r="332" spans="1:4" ht="33" x14ac:dyDescent="0.5">
      <c r="A332" s="12" t="s">
        <v>274</v>
      </c>
      <c r="B332" s="2" t="s">
        <v>409</v>
      </c>
      <c r="C332" s="3" t="s">
        <v>551</v>
      </c>
      <c r="D332" s="3">
        <v>0.5</v>
      </c>
    </row>
    <row r="333" spans="1:4" ht="33" x14ac:dyDescent="0.5">
      <c r="A333" s="12" t="s">
        <v>274</v>
      </c>
      <c r="B333" s="2" t="s">
        <v>410</v>
      </c>
      <c r="C333" s="3" t="s">
        <v>552</v>
      </c>
      <c r="D333" s="3">
        <v>0.5</v>
      </c>
    </row>
    <row r="334" spans="1:4" ht="33" x14ac:dyDescent="0.5">
      <c r="A334" s="12" t="s">
        <v>274</v>
      </c>
      <c r="B334" s="2" t="s">
        <v>411</v>
      </c>
      <c r="C334" s="3" t="s">
        <v>553</v>
      </c>
      <c r="D334" s="3">
        <v>0.5</v>
      </c>
    </row>
    <row r="335" spans="1:4" ht="33" x14ac:dyDescent="0.5">
      <c r="A335" s="12" t="s">
        <v>274</v>
      </c>
      <c r="B335" s="2" t="s">
        <v>412</v>
      </c>
      <c r="C335" s="3" t="s">
        <v>554</v>
      </c>
      <c r="D335" s="3">
        <v>0.5</v>
      </c>
    </row>
    <row r="336" spans="1:4" ht="33" x14ac:dyDescent="0.5">
      <c r="A336" s="12" t="s">
        <v>274</v>
      </c>
      <c r="B336" s="2" t="s">
        <v>413</v>
      </c>
      <c r="C336" s="3" t="s">
        <v>555</v>
      </c>
      <c r="D336" s="3">
        <v>0.5</v>
      </c>
    </row>
    <row r="337" spans="1:4" ht="33" x14ac:dyDescent="0.5">
      <c r="A337" s="12" t="s">
        <v>274</v>
      </c>
      <c r="B337" s="2" t="s">
        <v>414</v>
      </c>
      <c r="C337" s="3" t="s">
        <v>556</v>
      </c>
      <c r="D337" s="3">
        <v>0.5</v>
      </c>
    </row>
    <row r="338" spans="1:4" ht="33" x14ac:dyDescent="0.5">
      <c r="A338" s="12" t="s">
        <v>274</v>
      </c>
      <c r="B338" s="2" t="s">
        <v>415</v>
      </c>
      <c r="C338" s="3" t="s">
        <v>433</v>
      </c>
      <c r="D338" s="3">
        <v>0.5</v>
      </c>
    </row>
    <row r="339" spans="1:4" ht="33" x14ac:dyDescent="0.5">
      <c r="A339" s="12" t="s">
        <v>274</v>
      </c>
      <c r="B339" s="2" t="s">
        <v>416</v>
      </c>
      <c r="C339" s="3" t="s">
        <v>434</v>
      </c>
      <c r="D339" s="3">
        <v>0.5</v>
      </c>
    </row>
    <row r="340" spans="1:4" ht="33" x14ac:dyDescent="0.5">
      <c r="A340" s="12" t="s">
        <v>274</v>
      </c>
      <c r="B340" s="2" t="s">
        <v>417</v>
      </c>
      <c r="C340" s="3" t="s">
        <v>435</v>
      </c>
      <c r="D340" s="3">
        <v>0.5</v>
      </c>
    </row>
    <row r="341" spans="1:4" ht="33" x14ac:dyDescent="0.5">
      <c r="A341" s="12" t="s">
        <v>274</v>
      </c>
      <c r="B341" s="2" t="s">
        <v>418</v>
      </c>
      <c r="C341" s="3" t="s">
        <v>557</v>
      </c>
      <c r="D341" s="3">
        <v>0.5</v>
      </c>
    </row>
    <row r="342" spans="1:4" ht="33" x14ac:dyDescent="0.5">
      <c r="A342" s="12" t="s">
        <v>274</v>
      </c>
      <c r="B342" s="2" t="s">
        <v>419</v>
      </c>
      <c r="C342" s="3" t="s">
        <v>558</v>
      </c>
      <c r="D342" s="3">
        <v>0.5</v>
      </c>
    </row>
    <row r="343" spans="1:4" ht="33" x14ac:dyDescent="0.5">
      <c r="A343" s="12" t="s">
        <v>274</v>
      </c>
      <c r="B343" s="2" t="s">
        <v>420</v>
      </c>
      <c r="C343" s="3" t="s">
        <v>559</v>
      </c>
      <c r="D343" s="3">
        <v>0.5</v>
      </c>
    </row>
    <row r="344" spans="1:4" ht="33" x14ac:dyDescent="0.5">
      <c r="A344" s="12" t="s">
        <v>274</v>
      </c>
      <c r="B344" s="2" t="s">
        <v>421</v>
      </c>
      <c r="C344" s="3" t="s">
        <v>560</v>
      </c>
      <c r="D344" s="3">
        <v>0.5</v>
      </c>
    </row>
    <row r="345" spans="1:4" ht="33" x14ac:dyDescent="0.5">
      <c r="A345" s="12" t="s">
        <v>274</v>
      </c>
      <c r="B345" s="2" t="s">
        <v>422</v>
      </c>
      <c r="C345" s="3" t="s">
        <v>561</v>
      </c>
      <c r="D345" s="3">
        <v>0.5</v>
      </c>
    </row>
    <row r="346" spans="1:4" ht="33" x14ac:dyDescent="0.5">
      <c r="A346" s="12" t="s">
        <v>274</v>
      </c>
      <c r="B346" s="2" t="s">
        <v>423</v>
      </c>
      <c r="C346" s="3" t="s">
        <v>442</v>
      </c>
      <c r="D346" s="3">
        <v>0.5</v>
      </c>
    </row>
    <row r="347" spans="1:4" ht="33" x14ac:dyDescent="0.5">
      <c r="A347" s="12" t="s">
        <v>274</v>
      </c>
      <c r="B347" s="2" t="s">
        <v>424</v>
      </c>
      <c r="C347" s="3" t="s">
        <v>562</v>
      </c>
      <c r="D347" s="3">
        <v>0.5</v>
      </c>
    </row>
    <row r="348" spans="1:4" ht="33" x14ac:dyDescent="0.5">
      <c r="A348" s="12" t="s">
        <v>274</v>
      </c>
      <c r="B348" s="2" t="s">
        <v>425</v>
      </c>
      <c r="C348" s="3" t="s">
        <v>563</v>
      </c>
      <c r="D348" s="3">
        <v>0.5</v>
      </c>
    </row>
    <row r="349" spans="1:4" ht="33" x14ac:dyDescent="0.5">
      <c r="A349" s="12" t="s">
        <v>274</v>
      </c>
      <c r="B349" s="2" t="s">
        <v>426</v>
      </c>
      <c r="C349" s="3" t="s">
        <v>564</v>
      </c>
      <c r="D349" s="3">
        <v>0.5</v>
      </c>
    </row>
    <row r="350" spans="1:4" ht="33" x14ac:dyDescent="0.5">
      <c r="A350" s="12" t="s">
        <v>274</v>
      </c>
      <c r="B350" s="2" t="s">
        <v>427</v>
      </c>
      <c r="C350" s="3" t="s">
        <v>565</v>
      </c>
      <c r="D350" s="3">
        <v>0.5</v>
      </c>
    </row>
    <row r="351" spans="1:4" ht="33" x14ac:dyDescent="0.5">
      <c r="A351" s="12" t="s">
        <v>274</v>
      </c>
      <c r="B351" s="2" t="s">
        <v>428</v>
      </c>
      <c r="C351" s="3" t="s">
        <v>431</v>
      </c>
      <c r="D351" s="3">
        <v>0.5</v>
      </c>
    </row>
    <row r="352" spans="1:4" ht="33" x14ac:dyDescent="0.5">
      <c r="A352" s="12" t="s">
        <v>274</v>
      </c>
      <c r="B352" s="2" t="s">
        <v>429</v>
      </c>
      <c r="C352" s="3" t="s">
        <v>444</v>
      </c>
      <c r="D352" s="3">
        <v>0.5</v>
      </c>
    </row>
  </sheetData>
  <mergeCells count="4">
    <mergeCell ref="A2:A3"/>
    <mergeCell ref="A4:A5"/>
    <mergeCell ref="A6:A7"/>
    <mergeCell ref="A8:A12"/>
  </mergeCells>
  <hyperlinks>
    <hyperlink ref="B54" r:id="rId1" location="/courses/view/69aa71d45cacac2fbe7fe6b8" display="https://uwaterloo.ca/academic-calendar/undergraduate-studies/catalog - /courses/view/69aa71d45cacac2fbe7fe6b8" xr:uid="{FA21D5C5-7267-D74D-B8F0-64A4AADC0C0F}"/>
    <hyperlink ref="B55" r:id="rId2" location="/courses/view/65b7eaebfd7afe51fc086e96" display="https://uwaterloo.ca/academic-calendar/undergraduate-studies/catalog - /courses/view/65b7eaebfd7afe51fc086e96" xr:uid="{60EA9BE7-9D66-4942-B825-8BD0C0AC3341}"/>
    <hyperlink ref="B56" r:id="rId3" location="/courses/view/65b7ebce5f4404e465f29079" display="https://uwaterloo.ca/academic-calendar/undergraduate-studies/catalog - /courses/view/65b7ebce5f4404e465f29079" xr:uid="{91F940F8-3B4E-5249-8925-32B64BEDCE42}"/>
    <hyperlink ref="B57" r:id="rId4" location="/courses/view/65ccebd93cb0dd98f792907c" display="https://uwaterloo.ca/academic-calendar/undergraduate-studies/catalog - /courses/view/65ccebd93cb0dd98f792907c" xr:uid="{F476E625-67F7-CC45-B6FE-32483A07DBF4}"/>
    <hyperlink ref="B58" r:id="rId5" location="/courses/view/66268801b4dce0bca32ac47b" display="https://uwaterloo.ca/academic-calendar/undergraduate-studies/catalog - /courses/view/66268801b4dce0bca32ac47b" xr:uid="{6060D79B-20C5-7747-B3A3-43B480530651}"/>
    <hyperlink ref="B59" r:id="rId6" location="/courses/view/662baedb3fe4b20f033472a8" display="https://uwaterloo.ca/academic-calendar/undergraduate-studies/catalog - /courses/view/662baedb3fe4b20f033472a8" xr:uid="{D2BAE0C9-7D93-8F4A-91C3-E2B6157E9697}"/>
    <hyperlink ref="B60" r:id="rId7" location="/courses/view/65ac7153fd7afe5969083303" display="https://uwaterloo.ca/academic-calendar/undergraduate-studies/catalog - /courses/view/65ac7153fd7afe5969083303" xr:uid="{A123FCA4-F320-6345-AACF-12A0FDC75945}"/>
    <hyperlink ref="B61" r:id="rId8" location="/courses/view/68cacbed3ff99cd867c16d44" display="https://uwaterloo.ca/academic-calendar/undergraduate-studies/catalog - /courses/view/68cacbed3ff99cd867c16d44" xr:uid="{C539FAE8-D9D1-884B-AC64-C46E506DFA85}"/>
    <hyperlink ref="B62" r:id="rId9" location="/courses/view/65e776dce98bac72133fa623" display="https://uwaterloo.ca/academic-calendar/undergraduate-studies/catalog - /courses/view/65e776dce98bac72133fa623" xr:uid="{5D19D7A7-F50A-7F40-8476-6EF7C17B6D8E}"/>
    <hyperlink ref="B63" r:id="rId10" location="/courses/view/66feb452bcf5cc26fd74900b" display="https://uwaterloo.ca/academic-calendar/undergraduate-studies/catalog - /courses/view/66feb452bcf5cc26fd74900b" xr:uid="{490F13F7-4630-334A-A9C8-05C469EA0B5D}"/>
    <hyperlink ref="B64" r:id="rId11" location="/courses/view/68ca05d2f1186c129ccb30c0" display="https://uwaterloo.ca/academic-calendar/undergraduate-studies/catalog - /courses/view/68ca05d2f1186c129ccb30c0" xr:uid="{E4EA457B-1D5A-F04A-A0E5-66B9B9EA4843}"/>
    <hyperlink ref="B65" r:id="rId12" location="/courses/view/660ead57d057e8453acb94f7" display="https://uwaterloo.ca/academic-calendar/undergraduate-studies/catalog - /courses/view/660ead57d057e8453acb94f7" xr:uid="{69D887F0-9E67-DD4F-9A74-7C069E3EF775}"/>
    <hyperlink ref="B66" r:id="rId13" location="/courses/view/68c9fde4f1186c129ccb24dc" display="https://uwaterloo.ca/academic-calendar/undergraduate-studies/catalog - /courses/view/68c9fde4f1186c129ccb24dc" xr:uid="{A36EBAC4-11ED-7B4D-B59C-DB5DA6112206}"/>
    <hyperlink ref="B67" r:id="rId14" location="/courses/view/65ac7b9e6cd589fa0be8c1ff" display="https://uwaterloo.ca/academic-calendar/undergraduate-studies/catalog - /courses/view/65ac7b9e6cd589fa0be8c1ff" xr:uid="{CD6BAF59-9E89-904E-86BF-7560A4B526D6}"/>
    <hyperlink ref="B68" r:id="rId15" location="/courses/view/69aa6e55df9c42c28b61519d" display="https://uwaterloo.ca/academic-calendar/undergraduate-studies/catalog - /courses/view/69aa6e55df9c42c28b61519d" xr:uid="{BD825C3C-5201-F24B-B313-0D751069F661}"/>
    <hyperlink ref="B69" r:id="rId16" location="/courses/view/69aa78e1df9c42c28b61a4d4" display="https://uwaterloo.ca/academic-calendar/undergraduate-studies/catalog - /courses/view/69aa78e1df9c42c28b61a4d4" xr:uid="{6B85BE9D-5E63-A842-8CF4-E9AB04F79D9D}"/>
    <hyperlink ref="B70" r:id="rId17" location="/courses/view/69a05e4c5e731ab59962a891" display="https://uwaterloo.ca/academic-calendar/undergraduate-studies/catalog - /courses/view/69a05e4c5e731ab59962a891" xr:uid="{CF402A84-4796-224F-9FD6-4558E45E1319}"/>
    <hyperlink ref="B71" r:id="rId18" location="/courses/view/65ce797cd3ef754bfeb082d5" display="https://uwaterloo.ca/academic-calendar/undergraduate-studies/catalog - /courses/view/65ce797cd3ef754bfeb082d5" xr:uid="{71251A50-64B8-5A4F-B5A5-60376AD00706}"/>
    <hyperlink ref="B72" r:id="rId19" location="/courses/view/66daf1719da8ecfab6a204d5" display="https://uwaterloo.ca/academic-calendar/undergraduate-studies/catalog - /courses/view/66daf1719da8ecfab6a204d5" xr:uid="{83A488A8-9B58-114B-BAB4-D8ED98825DDC}"/>
    <hyperlink ref="B73" r:id="rId20" location="/courses/view/69af009913e1b07a8b682540" display="https://uwaterloo.ca/academic-calendar/undergraduate-studies/catalog - /courses/view/69af009913e1b07a8b682540" xr:uid="{9672E624-9921-4549-832A-4490B08EF49D}"/>
    <hyperlink ref="B74" r:id="rId21" location="/courses/view/69aa6c22405ebfa9d2b533af" display="https://uwaterloo.ca/academic-calendar/undergraduate-studies/catalog - /courses/view/69aa6c22405ebfa9d2b533af" xr:uid="{DEC406C9-E0AD-C74B-ADD8-B6A73938843D}"/>
    <hyperlink ref="B75" r:id="rId22" location="/courses/view/69aa720617940b8f16d3e88f" display="https://uwaterloo.ca/academic-calendar/undergraduate-studies/catalog - /courses/view/69aa720617940b8f16d3e88f" xr:uid="{4D3B02D7-CF1F-0746-A4C6-AEED4FD00D18}"/>
    <hyperlink ref="B76" r:id="rId23" location="/courses/view/65ac7bcd5f44045f28f25620" display="https://uwaterloo.ca/academic-calendar/undergraduate-studies/catalog - /courses/view/65ac7bcd5f44045f28f25620" xr:uid="{AF5D881B-E90A-A042-A3FE-26A833E1D6CF}"/>
    <hyperlink ref="B77" r:id="rId24" location="/courses/view/68924d965e3de158eb9992dd" display="https://uwaterloo.ca/academic-calendar/undergraduate-studies/catalog - /courses/view/68924d965e3de158eb9992dd" xr:uid="{E95BD80C-5080-9049-BC07-79BA0D43CDFC}"/>
    <hyperlink ref="B78" r:id="rId25" location="/courses/view/69aa6d0013e1b07a8b5acfec" display="https://uwaterloo.ca/academic-calendar/undergraduate-studies/catalog - /courses/view/69aa6d0013e1b07a8b5acfec" xr:uid="{480B5824-FB10-9541-A2BC-303B80B04161}"/>
    <hyperlink ref="B79" r:id="rId26" location="/courses/view/69aa70d813e1b07a8b5af8a9" display="https://uwaterloo.ca/academic-calendar/undergraduate-studies/catalog - /courses/view/69aa70d813e1b07a8b5af8a9" xr:uid="{D51FE054-1EA2-384A-A3FF-0D32232C7A27}"/>
    <hyperlink ref="B80" r:id="rId27" location="/courses/view/64a5b8f61731ad8aec2cccae" display="https://uwaterloo.ca/academic-calendar/undergraduate-studies/catalog - /courses/view/64a5b8f61731ad8aec2cccae" xr:uid="{65F72551-93F6-1D40-A540-ED354F880334}"/>
    <hyperlink ref="B81" r:id="rId28" location="/courses/view/66c6591ecd008829792e9a58" display="https://uwaterloo.ca/academic-calendar/undergraduate-studies/catalog - /courses/view/66c6591ecd008829792e9a58" xr:uid="{8BA00A74-456F-F94C-9B02-605BFC7FC1FD}"/>
    <hyperlink ref="B82" r:id="rId29" location="/courses/view/64a5b955ec4d1a17e46b525b" display="https://uwaterloo.ca/academic-calendar/undergraduate-studies/catalog - /courses/view/64a5b955ec4d1a17e46b525b" xr:uid="{55CBF934-2D7E-AA4B-ACB9-32CFB43E0F3B}"/>
    <hyperlink ref="B83" r:id="rId30" location="/courses/view/68e518428a281ecdccd23722" display="https://uwaterloo.ca/academic-calendar/undergraduate-studies/catalog - /courses/view/68e518428a281ecdccd23722" xr:uid="{307C43F0-F182-5943-ABAB-8256A9C88A26}"/>
    <hyperlink ref="B84" r:id="rId31" location="/courses/view/69aa75c05cacac2fbe80067c" display="https://uwaterloo.ca/academic-calendar/undergraduate-studies/catalog - /courses/view/69aa75c05cacac2fbe80067c" xr:uid="{6E3CC496-64A1-2242-9670-C6289F27A474}"/>
    <hyperlink ref="B85" r:id="rId32" location="/courses/view/6847198340950345beba153d" display="https://uwaterloo.ca/academic-calendar/undergraduate-studies/catalog - /courses/view/6847198340950345beba153d" xr:uid="{2F272B4D-4762-364C-991A-EEFBDDF7A385}"/>
    <hyperlink ref="B86" r:id="rId33" location="/courses/view/689a5430bc00f88a04d07312" display="https://uwaterloo.ca/academic-calendar/undergraduate-studies/catalog - /courses/view/689a5430bc00f88a04d07312" xr:uid="{5718EC79-EA4C-2449-8313-6F7D25D87C0E}"/>
    <hyperlink ref="B87" r:id="rId34" location="/courses/view/689a552a44b2b06d9475e202" display="https://uwaterloo.ca/academic-calendar/undergraduate-studies/catalog - /courses/view/689a552a44b2b06d9475e202" xr:uid="{CB72128D-1000-1046-9948-276457A36FA1}"/>
    <hyperlink ref="B88" r:id="rId35" location="/courses/view/689a555c5e3de158eba4281d" display="https://uwaterloo.ca/academic-calendar/undergraduate-studies/catalog - /courses/view/689a555c5e3de158eba4281d" xr:uid="{A92DDD72-B6A5-3742-8C2A-66633554EB1E}"/>
    <hyperlink ref="B89" r:id="rId36" location="/courses/view/689a558b6e46caaa6b40179a" display="https://uwaterloo.ca/academic-calendar/undergraduate-studies/catalog - /courses/view/689a558b6e46caaa6b40179a" xr:uid="{80D22D87-3523-C341-B4A6-B6473049AEC8}"/>
    <hyperlink ref="B90" r:id="rId37" location="/courses/view/68d2b3103ff99cd867d0477a" display="https://uwaterloo.ca/academic-calendar/undergraduate-studies/catalog - /courses/view/68d2b3103ff99cd867d0477a" xr:uid="{11A274CC-55D9-D743-8298-4ADDD4BC6372}"/>
    <hyperlink ref="B91" r:id="rId38" location="/courses/view/699473bf8d0263cb6fe241f2" display="https://uwaterloo.ca/academic-calendar/undergraduate-studies/catalog - /courses/view/699473bf8d0263cb6fe241f2" xr:uid="{9F8AFD57-31E1-C44F-9623-5CCE8A391221}"/>
    <hyperlink ref="B92" r:id="rId39" location="/courses/view/68e511908a281ecdccd1fa32" display="https://uwaterloo.ca/academic-calendar/undergraduate-studies/catalog - /courses/view/68e511908a281ecdccd1fa32" xr:uid="{F8596581-A34E-D949-8D7E-839266DD2403}"/>
    <hyperlink ref="B93" r:id="rId40" location="/courses/view/689f7255f4a095c899cf788e" display="https://uwaterloo.ca/academic-calendar/undergraduate-studies/catalog - /courses/view/689f7255f4a095c899cf788e" xr:uid="{217A02C2-62D6-B14B-83A8-9B1FD3A403FC}"/>
    <hyperlink ref="B94" r:id="rId41" location="/courses/view/6994738867f4be70006ed060" display="https://uwaterloo.ca/academic-calendar/undergraduate-studies/catalog - /courses/view/6994738867f4be70006ed060" xr:uid="{11BB2DB1-C2A1-A247-9701-A040B80D1D75}"/>
    <hyperlink ref="B95" r:id="rId42" location="/courses/view/699473fe6dcaceeaae183eab" display="https://uwaterloo.ca/academic-calendar/undergraduate-studies/catalog - /courses/view/699473fe6dcaceeaae183eab" xr:uid="{F6B5D46E-0A8C-424A-9B20-47C682962C10}"/>
    <hyperlink ref="B96" r:id="rId43" location="/courses/view/66feb5e068d5ffa0ebee45d0" display="https://uwaterloo.ca/academic-calendar/undergraduate-studies/catalog - /courses/view/66feb5e068d5ffa0ebee45d0" xr:uid="{3D0C8415-70DD-AE46-9638-F0426BCD0145}"/>
    <hyperlink ref="B97" r:id="rId44" location="/courses/view/6994741947557d57c3d4526e" display="https://uwaterloo.ca/academic-calendar/undergraduate-studies/catalog - /courses/view/6994741947557d57c3d4526e" xr:uid="{DD99FE38-91D8-CE45-838E-88971A81A11F}"/>
    <hyperlink ref="B98" r:id="rId45" location="/courses/view/69947308fa43c40307e0d913" display="https://uwaterloo.ca/academic-calendar/undergraduate-studies/catalog - /courses/view/69947308fa43c40307e0d913" xr:uid="{2900B245-BB0A-1944-B7AF-25CB72ABCDF6}"/>
    <hyperlink ref="B99" r:id="rId46" location="/courses/view/68cb0e8fe6d0b0217c4e34cd" display="https://uwaterloo.ca/academic-calendar/undergraduate-studies/catalog - /courses/view/68cb0e8fe6d0b0217c4e34cd" xr:uid="{C5E9DE2B-0352-C74A-9F5C-19683EB2B6AA}"/>
    <hyperlink ref="B100" r:id="rId47" location="/courses/view/65cbb61fe83de60c27287b55" display="https://uwaterloo.ca/academic-calendar/undergraduate-studies/catalog - /courses/view/65cbb61fe83de60c27287b55" xr:uid="{99C3A8A2-B43A-D148-854C-FAE5EDC14807}"/>
    <hyperlink ref="B101" r:id="rId48" location="/courses/view/65cbc225b29e1570e67e485c" display="https://uwaterloo.ca/academic-calendar/undergraduate-studies/catalog - /courses/view/65cbc225b29e1570e67e485c" xr:uid="{96322F4E-20C0-C74F-9FE4-4D3C4FF0A4EA}"/>
    <hyperlink ref="B102" r:id="rId49" location="/courses/view/64a5bc763bbc4e656b3ef85c" display="https://uwaterloo.ca/academic-calendar/undergraduate-studies/catalog - /courses/view/64a5bc763bbc4e656b3ef85c" xr:uid="{D93122E6-466B-6F4F-8DBC-BB41D6795ABF}"/>
    <hyperlink ref="B103" r:id="rId50" location="/courses/view/64a5bcf084500d5da6c8d34f" display="https://uwaterloo.ca/academic-calendar/undergraduate-studies/catalog - /courses/view/64a5bcf084500d5da6c8d34f" xr:uid="{5E1E4650-73C8-4744-91B5-093F460C4B4B}"/>
    <hyperlink ref="B104" r:id="rId51" location="/courses/view/65b839d15f4404e702f2926d" display="https://uwaterloo.ca/academic-calendar/undergraduate-studies/catalog - /courses/view/65b839d15f4404e702f2926d" xr:uid="{15952116-B0AC-CE4A-8D73-7D42164E93C7}"/>
    <hyperlink ref="B105" r:id="rId52" location="/courses/view/65b839fcfd7afe132e087082" display="https://uwaterloo.ca/academic-calendar/undergraduate-studies/catalog - /courses/view/65b839fcfd7afe132e087082" xr:uid="{6261DF90-EEF7-594F-B20A-38E330670758}"/>
    <hyperlink ref="B106" r:id="rId53" location="/courses/view/65b83a3398f0447646102fde" display="https://uwaterloo.ca/academic-calendar/undergraduate-studies/catalog - /courses/view/65b83a3398f0447646102fde" xr:uid="{0E259B9D-D5E7-174D-9ECC-8C07EFBCCC90}"/>
    <hyperlink ref="B107" r:id="rId54" location="/courses/view/65b83a8f5f44045c63f29279" display="https://uwaterloo.ca/academic-calendar/undergraduate-studies/catalog - /courses/view/65b83a8f5f44045c63f29279" xr:uid="{0E5F8E02-BBC4-9649-AFC0-5C0014993349}"/>
    <hyperlink ref="B108" r:id="rId55" location="/courses/view/65b83aff77863017f97ff868" display="https://uwaterloo.ca/academic-calendar/undergraduate-studies/catalog - /courses/view/65b83aff77863017f97ff868" xr:uid="{E1FB3C5E-6C7A-204D-BAD9-25D50653F1EC}"/>
    <hyperlink ref="B109" r:id="rId56" location="/courses/view/68e511ee8a281ecdccd1fdc8" display="https://uwaterloo.ca/academic-calendar/undergraduate-studies/catalog - /courses/view/68e511ee8a281ecdccd1fdc8" xr:uid="{D191E70A-B667-7344-94DD-B8DD0B12F755}"/>
    <hyperlink ref="B110" r:id="rId57" location="/courses/view/69a5d6608d0263cb6f1e0a86" display="https://uwaterloo.ca/academic-calendar/undergraduate-studies/catalog - /courses/view/69a5d6608d0263cb6f1e0a86" xr:uid="{0186CA46-7021-ED42-8FE1-2860926DD9BB}"/>
    <hyperlink ref="B111" r:id="rId58" location="/courses/view/66268801b4dce0bca32ac47b" display="https://uwaterloo.ca/academic-calendar/undergraduate-studies/catalog - /courses/view/66268801b4dce0bca32ac47b" xr:uid="{BE2295F7-7815-F247-AB3A-DFA8A32608B0}"/>
    <hyperlink ref="B112" r:id="rId59" location="/courses/view/65cd104ce83de6e47d2882fc" display="https://uwaterloo.ca/academic-calendar/undergraduate-studies/catalog - /courses/view/65cd104ce83de6e47d2882fc" xr:uid="{260A3D0F-B9DC-6B4C-991F-AF3438EF0D00}"/>
    <hyperlink ref="B113" r:id="rId60" location="/courses/view/662baedb3fe4b20f033472a8" display="https://uwaterloo.ca/academic-calendar/undergraduate-studies/catalog - /courses/view/662baedb3fe4b20f033472a8" xr:uid="{8C42114E-BD62-7841-BB09-1D9FB071AEF5}"/>
    <hyperlink ref="B114" r:id="rId61" location="/courses/view/64a5b8cf69e9ee22062ae4e6" display="https://uwaterloo.ca/academic-calendar/undergraduate-studies/catalog - /courses/view/64a5b8cf69e9ee22062ae4e6" xr:uid="{1668F56A-7689-034F-9889-74D4BF5F1BC5}"/>
    <hyperlink ref="B115" r:id="rId62" location="/courses/view/64a5b8cf1731ad23122ccc1f" display="https://uwaterloo.ca/academic-calendar/undergraduate-studies/catalog - /courses/view/64a5b8cf1731ad23122ccc1f" xr:uid="{49A5FF69-24A7-B645-94CC-3171E19BEE35}"/>
    <hyperlink ref="B116" r:id="rId63" location="/courses/view/65ac7153fd7afe5969083303" display="https://uwaterloo.ca/academic-calendar/undergraduate-studies/catalog - /courses/view/65ac7153fd7afe5969083303" xr:uid="{E4D0F22A-B8CB-A847-899D-B2E79B699167}"/>
    <hyperlink ref="B117" r:id="rId64" location="/courses/view/65ac71a95a8cf70c3d8a1cb7" display="https://uwaterloo.ca/academic-calendar/undergraduate-studies/catalog - /courses/view/65ac71a95a8cf70c3d8a1cb7" xr:uid="{28FA11B7-5F3C-7948-8566-CC8A583978A4}"/>
    <hyperlink ref="B118" r:id="rId65" location="/courses/view/66294debe513b36640f30cf8" display="https://uwaterloo.ca/academic-calendar/undergraduate-studies/catalog - /courses/view/66294debe513b36640f30cf8" xr:uid="{E9F62764-EDC2-7642-9618-998AF44BEE14}"/>
    <hyperlink ref="B119" r:id="rId66" location="/courses/view/64a5ba1a3bbc4e7b853ef824" display="https://uwaterloo.ca/academic-calendar/undergraduate-studies/catalog - /courses/view/64a5ba1a3bbc4e7b853ef824" xr:uid="{BC3737B0-AD4C-5A47-9CEB-02FC1A898DF1}"/>
    <hyperlink ref="B120" r:id="rId67" location="/courses/view/64a5b8cf0f5f457839430b62" display="https://uwaterloo.ca/academic-calendar/undergraduate-studies/catalog - /courses/view/64a5b8cf0f5f457839430b62" xr:uid="{E1DF373F-EFAD-3E43-BFFD-90AC74743403}"/>
    <hyperlink ref="B121" r:id="rId68" location="/courses/view/68cacbed3ff99cd867c16d44" display="https://uwaterloo.ca/academic-calendar/undergraduate-studies/catalog - /courses/view/68cacbed3ff99cd867c16d44" xr:uid="{AF903BFD-0BC0-ED4A-8403-26CE53651915}"/>
    <hyperlink ref="B122" r:id="rId69" location="/courses/view/660da1a43f0d4007426d298b" display="https://uwaterloo.ca/academic-calendar/undergraduate-studies/catalog - /courses/view/660da1a43f0d4007426d298b" xr:uid="{7DBCFC22-8EB7-2E43-BADD-6A6E491C438F}"/>
    <hyperlink ref="B123" r:id="rId70" location="/courses/view/660da1f80e65be29262bdc38" display="https://uwaterloo.ca/academic-calendar/undergraduate-studies/catalog - /courses/view/660da1f80e65be29262bdc38" xr:uid="{D703BB2F-DEE9-3144-A806-E480E977249B}"/>
    <hyperlink ref="B124" r:id="rId71" location="/courses/view/69b05dbc88df55191ccb95db" display="https://uwaterloo.ca/academic-calendar/undergraduate-studies/catalog - /courses/view/69b05dbc88df55191ccb95db" xr:uid="{AAD0C881-13BB-9648-B146-B2902BC23157}"/>
    <hyperlink ref="B125" r:id="rId72" location="/courses/view/69aa7a0a8197cc8370a51192" display="https://uwaterloo.ca/academic-calendar/undergraduate-studies/catalog - /courses/view/69aa7a0a8197cc8370a51192" xr:uid="{FAFE953B-F547-2E4F-8740-09EB1DE8C4B7}"/>
    <hyperlink ref="B126" r:id="rId73" location="/courses/view/69aa79e45cacac2fbe8020af" display="https://uwaterloo.ca/academic-calendar/undergraduate-studies/catalog - /courses/view/69aa79e45cacac2fbe8020af" xr:uid="{11C7344F-E96C-204C-9D98-7EF8FC7E648A}"/>
    <hyperlink ref="B127" r:id="rId74" location="/courses/view/65e776dce98bac72133fa623" display="https://uwaterloo.ca/academic-calendar/undergraduate-studies/catalog - /courses/view/65e776dce98bac72133fa623" xr:uid="{8213A440-7B5E-074D-A48B-CA3F3179C4A6}"/>
    <hyperlink ref="B128" r:id="rId75" location="/courses/view/660da3920e65be11ff2bdc44" display="https://uwaterloo.ca/academic-calendar/undergraduate-studies/catalog - /courses/view/660da3920e65be11ff2bdc44" xr:uid="{8B3CE8AC-5874-2443-B447-0160BA18868B}"/>
    <hyperlink ref="B129" r:id="rId76" location="/courses/view/64a5b9f569e9eeee7f2ae7a4" display="https://uwaterloo.ca/academic-calendar/undergraduate-studies/catalog - /courses/view/64a5b9f569e9eeee7f2ae7a4" xr:uid="{FC45D820-2493-2D4D-999E-085E47956A2B}"/>
    <hyperlink ref="B130" r:id="rId77" location="/courses/view/660da819bca6561e7f4b1448" display="https://uwaterloo.ca/academic-calendar/undergraduate-studies/catalog - /courses/view/660da819bca6561e7f4b1448" xr:uid="{97EA3BD8-FFFD-F644-8048-85BDD665442F}"/>
    <hyperlink ref="B131" r:id="rId78" location="/courses/view/68cade34e6d0b0217c4da20b" display="https://uwaterloo.ca/academic-calendar/undergraduate-studies/catalog - /courses/view/68cade34e6d0b0217c4da20b" xr:uid="{F1A77A64-4B9B-EF4E-B0EF-DD6553BF8610}"/>
    <hyperlink ref="B132" r:id="rId79" location="/courses/view/65e8b002e98bac09673fbe2c" display="https://uwaterloo.ca/academic-calendar/undergraduate-studies/catalog - /courses/view/65e8b002e98bac09673fbe2c" xr:uid="{7306C6BB-258A-7F44-AAFE-CFCF925CC725}"/>
    <hyperlink ref="B133" r:id="rId80" location="/courses/view/69aa757b17940b8f16d40472" display="https://uwaterloo.ca/academic-calendar/undergraduate-studies/catalog - /courses/view/69aa757b17940b8f16d40472" xr:uid="{EB8CED45-8164-F046-AFD7-B234FDEFE8F5}"/>
    <hyperlink ref="B134" r:id="rId81" location="/courses/view/64a5b9a4ec4d1a0a416b5381" display="https://uwaterloo.ca/academic-calendar/undergraduate-studies/catalog - /courses/view/64a5b9a4ec4d1a0a416b5381" xr:uid="{4040D9B4-1A10-E64E-A87E-200AB7373030}"/>
    <hyperlink ref="B135" r:id="rId82" location="/courses/view/68dd4a378a281ecdccbca69f" display="https://uwaterloo.ca/academic-calendar/undergraduate-studies/catalog - /courses/view/68dd4a378a281ecdccbca69f" xr:uid="{27C227F6-2325-434A-A80E-52EABEBCFD9C}"/>
    <hyperlink ref="B136" r:id="rId83" location="/courses/view/69aa75b00cdb8bf7a70450dd" display="https://uwaterloo.ca/academic-calendar/undergraduate-studies/catalog - /courses/view/69aa75b00cdb8bf7a70450dd" xr:uid="{8EC263E0-3911-BE41-9492-699F50A48D86}"/>
    <hyperlink ref="B137" r:id="rId84" location="/courses/view/66feb6ce68d5ff94aaee45da" display="https://uwaterloo.ca/academic-calendar/undergraduate-studies/catalog - /courses/view/66feb6ce68d5ff94aaee45da" xr:uid="{055D2366-6708-AB4F-8117-DDE0B9291A2E}"/>
    <hyperlink ref="B138" r:id="rId85" location="/courses/view/66febb70712d09f4690bc547" display="https://uwaterloo.ca/academic-calendar/undergraduate-studies/catalog - /courses/view/66febb70712d09f4690bc547" xr:uid="{E8617ED7-3001-C041-835C-7A86B61976CD}"/>
    <hyperlink ref="B139" r:id="rId86" location="/courses/view/66fd6ff12f1d75d7ed5e45df" display="https://uwaterloo.ca/academic-calendar/undergraduate-studies/catalog - /courses/view/66fd6ff12f1d75d7ed5e45df" xr:uid="{F9001EF0-C751-E945-90EF-32C2BEBA46FB}"/>
    <hyperlink ref="B140" r:id="rId87" location="/courses/view/65ccc4bace9eec34f0d2919e" display="https://uwaterloo.ca/academic-calendar/undergraduate-studies/catalog - /courses/view/65ccc4bace9eec34f0d2919e" xr:uid="{69C45842-949C-FE41-85C5-A417BCA36F8D}"/>
    <hyperlink ref="B141" r:id="rId88" location="/courses/view/68cb4673c7945cade0247cac" display="https://uwaterloo.ca/academic-calendar/undergraduate-studies/catalog - /courses/view/68cb4673c7945cade0247cac" xr:uid="{24BB3B4B-ED9E-F34F-A853-4AE0463342E9}"/>
    <hyperlink ref="B142" r:id="rId89" location="/courses/view/68cb42a782a34875849aa867" display="https://uwaterloo.ca/academic-calendar/undergraduate-studies/catalog - /courses/view/68cb42a782a34875849aa867" xr:uid="{41D3238A-4C65-A344-BCEB-5B9A8F376412}"/>
    <hyperlink ref="B143" r:id="rId90" location="/courses/view/68ca05d2f1186c129ccb30c0" display="https://uwaterloo.ca/academic-calendar/undergraduate-studies/catalog - /courses/view/68ca05d2f1186c129ccb30c0" xr:uid="{F28593D2-9412-4B45-B09E-D342EE7F6BF6}"/>
    <hyperlink ref="B144" r:id="rId91" location="/courses/view/64a5ba155d7577422176ca56" display="https://uwaterloo.ca/academic-calendar/undergraduate-studies/catalog - /courses/view/64a5ba155d7577422176ca56" xr:uid="{C9BF51F0-8921-5042-9118-19458A23DFCD}"/>
    <hyperlink ref="B145" r:id="rId92" location="/courses/view/64a5b8d70f5f455ba7430b7d" display="https://uwaterloo.ca/academic-calendar/undergraduate-studies/catalog - /courses/view/64a5b8d70f5f455ba7430b7d" xr:uid="{BECD57BC-C34D-0C4A-B9EC-B570EDE92168}"/>
    <hyperlink ref="B146" r:id="rId93" location="/courses/view/68cb48acada07b1165700fb5" display="https://uwaterloo.ca/academic-calendar/undergraduate-studies/catalog - /courses/view/68cb48acada07b1165700fb5" xr:uid="{AEB1C7D3-2675-5542-A0CC-30C51D534C57}"/>
    <hyperlink ref="B147" r:id="rId94" location="/courses/view/698e19105cb99aece59a7dea" display="https://uwaterloo.ca/academic-calendar/undergraduate-studies/catalog - /courses/view/698e19105cb99aece59a7dea" xr:uid="{21DA792C-3BE3-0149-A6C7-24CF1676BB9A}"/>
    <hyperlink ref="B148" r:id="rId95" location="/courses/view/660ead57d057e8453acb94f7" display="https://uwaterloo.ca/academic-calendar/undergraduate-studies/catalog - /courses/view/660ead57d057e8453acb94f7" xr:uid="{93106ADC-F602-D44A-8A6D-3E94AF1E6DB4}"/>
    <hyperlink ref="B149" r:id="rId96" location="/courses/view/68ca0a45a4000185dde02cc0" display="https://uwaterloo.ca/academic-calendar/undergraduate-studies/catalog - /courses/view/68ca0a45a4000185dde02cc0" xr:uid="{8607CF04-8FCF-4843-9C0B-B1607FE2EC0F}"/>
    <hyperlink ref="B150" r:id="rId97" location="/courses/view/68ca190780cf583962267e38" display="https://uwaterloo.ca/academic-calendar/undergraduate-studies/catalog - /courses/view/68ca190780cf583962267e38" xr:uid="{C6A0E9DD-B8DE-3049-9F55-1AB454A19073}"/>
    <hyperlink ref="B151" r:id="rId98" location="/courses/view/68ca093c0543262b1592764c" display="https://uwaterloo.ca/academic-calendar/undergraduate-studies/catalog - /courses/view/68ca093c0543262b1592764c" xr:uid="{FAD2D0C9-F46F-2249-9060-C64A7F3C7409}"/>
    <hyperlink ref="B152" r:id="rId99" location="/courses/view/68ca1a4380cf583962268011" display="https://uwaterloo.ca/academic-calendar/undergraduate-studies/catalog - /courses/view/68ca1a4380cf583962268011" xr:uid="{8E18AED7-CB7D-A149-9234-8BCB5F27F74D}"/>
    <hyperlink ref="B153" r:id="rId100" location="/courses/view/68cb5144f1186c129ccd989b" display="https://uwaterloo.ca/academic-calendar/undergraduate-studies/catalog - /courses/view/68cb5144f1186c129ccd989b" xr:uid="{B4ECB0F5-0629-7B4E-83B3-E1581E7E203A}"/>
    <hyperlink ref="B154" r:id="rId101" location="/courses/view/68c9fde4f1186c129ccb24dc" display="https://uwaterloo.ca/academic-calendar/undergraduate-studies/catalog - /courses/view/68c9fde4f1186c129ccb24dc" xr:uid="{A9B8FB46-6623-1940-B504-0DC265606661}"/>
    <hyperlink ref="B155" r:id="rId102" location="/courses/view/698e1892e6bb8b01a6c70620" display="https://uwaterloo.ca/academic-calendar/undergraduate-studies/catalog - /courses/view/698e1892e6bb8b01a6c70620" xr:uid="{CD4F14A9-4212-914D-B1EB-6E3A369D586F}"/>
    <hyperlink ref="B156" r:id="rId103" location="/courses/view/660dab7d532380080b614e86" display="https://uwaterloo.ca/academic-calendar/undergraduate-studies/catalog - /courses/view/660dab7d532380080b614e86" xr:uid="{C88F17F0-F068-D342-A7DA-97AD780EC656}"/>
    <hyperlink ref="B157" r:id="rId104" location="/courses/view/65ac7b9e6cd589fa0be8c1ff" display="https://uwaterloo.ca/academic-calendar/undergraduate-studies/catalog - /courses/view/65ac7b9e6cd589fa0be8c1ff" xr:uid="{D291C780-1CA4-D14F-B381-8177D5A1C1C1}"/>
    <hyperlink ref="B158" r:id="rId105" location="/courses/view/662eef3f7be622ec54efddbc" display="https://uwaterloo.ca/academic-calendar/undergraduate-studies/catalog - /courses/view/662eef3f7be622ec54efddbc" xr:uid="{305C2E53-F2EF-2E4B-813A-936D5C18C1D2}"/>
    <hyperlink ref="B159" r:id="rId106" location="/courses/view/68ca1c3ec7945cade0224bc2" display="https://uwaterloo.ca/academic-calendar/undergraduate-studies/catalog - /courses/view/68ca1c3ec7945cade0224bc2" xr:uid="{AC72B349-971C-0948-B155-2120BC68F1F8}"/>
    <hyperlink ref="B160" r:id="rId107" location="/courses/view/65cf870b7a54050031806008" display="https://uwaterloo.ca/academic-calendar/undergraduate-studies/catalog - /courses/view/65cf870b7a54050031806008" xr:uid="{A0E7833B-E9C0-EA4D-99EA-BF4C85328AB7}"/>
    <hyperlink ref="B161" r:id="rId108" location="/courses/view/68d09a4182a3487584a412c9" display="https://uwaterloo.ca/academic-calendar/undergraduate-studies/catalog - /courses/view/68d09a4182a3487584a412c9" xr:uid="{DF7242A8-DDA3-634B-A542-BBFC6AC20E36}"/>
    <hyperlink ref="B162" r:id="rId109" location="/courses/view/69aa79f8943da42afcc5f751" display="https://uwaterloo.ca/academic-calendar/undergraduate-studies/catalog - /courses/view/69aa79f8943da42afcc5f751" xr:uid="{392E0F03-8CB9-9E40-8810-3E66B2D4C6BE}"/>
    <hyperlink ref="B163" r:id="rId110" location="/courses/view/69a9e41188fba4af19ca1378" display="https://uwaterloo.ca/academic-calendar/undergraduate-studies/catalog - /courses/view/69a9e41188fba4af19ca1378" xr:uid="{5CC90E10-BE50-DE40-B4DC-4A438B42948F}"/>
    <hyperlink ref="B164" r:id="rId111" location="/courses/view/64a5b8db64e0fe6a95173bd5" display="https://uwaterloo.ca/academic-calendar/undergraduate-studies/catalog - /courses/view/64a5b8db64e0fe6a95173bd5" xr:uid="{F3E0DFC5-E6A9-A140-98B5-39A1E5D921CA}"/>
    <hyperlink ref="B165" r:id="rId112" location="/courses/view/65b51ad26cd58929b6e8ee47" display="https://uwaterloo.ca/academic-calendar/undergraduate-studies/catalog - /courses/view/65b51ad26cd58929b6e8ee47" xr:uid="{E5D56503-1792-1742-A0C8-D8FEB42A10E5}"/>
    <hyperlink ref="B166" r:id="rId113" location="/courses/view/64a5bc9584500dec56c8d2ec" display="https://uwaterloo.ca/academic-calendar/undergraduate-studies/catalog - /courses/view/64a5bc9584500dec56c8d2ec" xr:uid="{3F19F957-EB17-EF41-B7DD-0236DF8C1BE5}"/>
    <hyperlink ref="B167" r:id="rId114" location="/courses/view/69aa757c13e1b07a8b5b216c" display="https://uwaterloo.ca/academic-calendar/undergraduate-studies/catalog - /courses/view/69aa757c13e1b07a8b5b216c" xr:uid="{93C6CCA3-81C8-6043-8E37-5AB7D5EF42F3}"/>
    <hyperlink ref="B168" r:id="rId115" location="/courses/view/69a7365b943da42afcbafa85" display="https://uwaterloo.ca/academic-calendar/undergraduate-studies/catalog - /courses/view/69a7365b943da42afcbafa85" xr:uid="{BC7AAE23-9460-3B46-AF37-8DA760F1338C}"/>
    <hyperlink ref="B169" r:id="rId116" location="/courses/view/64a5bc9769e9eefc1d2ae86d" display="https://uwaterloo.ca/academic-calendar/undergraduate-studies/catalog - /courses/view/64a5bc9769e9eefc1d2ae86d" xr:uid="{CC6F8BF0-83A7-B54E-9FF4-C1C37E609DF4}"/>
    <hyperlink ref="B170" r:id="rId117" location="/courses/view/69aa79df17940b8f16d42108" display="https://uwaterloo.ca/academic-calendar/undergraduate-studies/catalog - /courses/view/69aa79df17940b8f16d42108" xr:uid="{63F295EE-1990-3641-9509-6F2B90E520BF}"/>
    <hyperlink ref="B171" r:id="rId118" location="/courses/view/69aa75ab306256e3f129dcda" display="https://uwaterloo.ca/academic-calendar/undergraduate-studies/catalog - /courses/view/69aa75ab306256e3f129dcda" xr:uid="{7DE5A117-0454-5041-90D4-76D1AAF6D871}"/>
    <hyperlink ref="B172" r:id="rId119" location="/courses/view/69aee72f405ebfa9d2c23106" display="https://uwaterloo.ca/academic-calendar/undergraduate-studies/catalog - /courses/view/69aee72f405ebfa9d2c23106" xr:uid="{DD207334-DC0A-124F-9051-42FCEB641794}"/>
    <hyperlink ref="B173" r:id="rId120" location="/courses/view/69aa757e88df55191cbc40f2" display="https://uwaterloo.ca/academic-calendar/undergraduate-studies/catalog - /courses/view/69aa757e88df55191cbc40f2" xr:uid="{0E2C043A-6AFD-164B-916D-4D7941F34592}"/>
    <hyperlink ref="B174" r:id="rId121" location="/courses/view/69aa75c813e1b07a8b5b254b" display="https://uwaterloo.ca/academic-calendar/undergraduate-studies/catalog - /courses/view/69aa75c813e1b07a8b5b254b" xr:uid="{A309E902-C42A-C34E-AB1A-8A64003CD2C9}"/>
    <hyperlink ref="B175" r:id="rId122" location="/courses/view/64a5b9efec4d1a15c16b53c6" display="https://uwaterloo.ca/academic-calendar/undergraduate-studies/catalog - /courses/view/64a5b9efec4d1a15c16b53c6" xr:uid="{D30DD270-12CD-EB42-AF1E-D16713CC7B34}"/>
    <hyperlink ref="B176" r:id="rId123" location="/courses/view/65cf870fcaf2eb6ec83d9709" display="https://uwaterloo.ca/academic-calendar/undergraduate-studies/catalog - /courses/view/65cf870fcaf2eb6ec83d9709" xr:uid="{D1CB49A0-29BE-6A42-B1F9-D4C2A35441CF}"/>
    <hyperlink ref="B177" r:id="rId124" location="/courses/view/69aa79cf88df55191cbc5ef6" display="https://uwaterloo.ca/academic-calendar/undergraduate-studies/catalog - /courses/view/69aa79cf88df55191cbc5ef6" xr:uid="{2E18E2C9-9751-864A-9E59-8D8555C12E72}"/>
    <hyperlink ref="B178" r:id="rId125" location="/courses/view/64a5b8ddb9ada265cd1af1b9" display="https://uwaterloo.ca/academic-calendar/undergraduate-studies/catalog - /courses/view/64a5b8ddb9ada265cd1af1b9" xr:uid="{D8147758-70DE-1F48-A453-C474C8BD22DF}"/>
    <hyperlink ref="B179" r:id="rId126" location="/courses/view/65ce2d447a5405b19a8056d9" display="https://uwaterloo.ca/academic-calendar/undergraduate-studies/catalog - /courses/view/65ce2d447a5405b19a8056d9" xr:uid="{A13F9100-D5AE-A34D-8B03-808EBDCA7F49}"/>
    <hyperlink ref="B180" r:id="rId127" location="/courses/view/685c222640950345bed7d3c4" display="https://uwaterloo.ca/academic-calendar/undergraduate-studies/catalog - /courses/view/685c222640950345bed7d3c4" xr:uid="{F65FD70A-23B8-CC4B-A210-F1B0D4AC3CB3}"/>
    <hyperlink ref="B181" r:id="rId128" location="/courses/view/65ce42383c5b4482211d7635" display="https://uwaterloo.ca/academic-calendar/undergraduate-studies/catalog - /courses/view/65ce42383c5b4482211d7635" xr:uid="{D59C2C99-5860-354D-B9B4-22DF1742C723}"/>
    <hyperlink ref="B182" r:id="rId129" location="/courses/view/65ce72d7e98bacba4b3f0683" display="https://uwaterloo.ca/academic-calendar/undergraduate-studies/catalog - /courses/view/65ce72d7e98bacba4b3f0683" xr:uid="{4D2B010B-70A0-9C4D-BEAE-BCBA947CD90D}"/>
    <hyperlink ref="B183" r:id="rId130" location="/courses/view/69a05e4c5e731ab59962a891" display="https://uwaterloo.ca/academic-calendar/undergraduate-studies/catalog - /courses/view/69a05e4c5e731ab59962a891" xr:uid="{B6F012A8-D660-DC47-80F9-976E535AEFE7}"/>
    <hyperlink ref="B184" r:id="rId131" location="/courses/view/65ce797cd3ef754bfeb082d5" display="https://uwaterloo.ca/academic-calendar/undergraduate-studies/catalog - /courses/view/65ce797cd3ef754bfeb082d5" xr:uid="{FC6BA586-881D-0248-8F56-1473421E1056}"/>
    <hyperlink ref="B185" r:id="rId132" location="/courses/view/68e51607a45d66ea78d237f8" display="https://uwaterloo.ca/academic-calendar/undergraduate-studies/catalog - /courses/view/68e51607a45d66ea78d237f8" xr:uid="{21AED6D6-0711-024E-830D-97B7A1C0CF40}"/>
    <hyperlink ref="B186" r:id="rId133" location="/courses/view/65ac8062fd7afecc95083374" display="https://uwaterloo.ca/academic-calendar/undergraduate-studies/catalog - /courses/view/65ac8062fd7afecc95083374" xr:uid="{8FB7305E-860B-7D4E-A2AE-9DD41C515AA2}"/>
    <hyperlink ref="B187" r:id="rId134" location="/courses/view/64a5bd3b5d757785af76cb4a" display="https://uwaterloo.ca/academic-calendar/undergraduate-studies/catalog - /courses/view/64a5bd3b5d757785af76cb4a" xr:uid="{8C62F99F-D2A0-DD4E-A303-8BADEDD7976B}"/>
    <hyperlink ref="B188" r:id="rId135" location="/courses/view/65ac7bcd5f44045f28f25620" display="https://uwaterloo.ca/academic-calendar/undergraduate-studies/catalog - /courses/view/65ac7bcd5f44045f28f25620" xr:uid="{ABFB6BA7-F62A-264A-A83E-E65DC58BD7EB}"/>
    <hyperlink ref="B189" r:id="rId136" location="/courses/view/698e18a3e6bb8b01a6c7070a" display="https://uwaterloo.ca/academic-calendar/undergraduate-studies/catalog - /courses/view/698e18a3e6bb8b01a6c7070a" xr:uid="{6B53D197-9828-4C45-A87E-4CB2FAB444ED}"/>
    <hyperlink ref="B190" r:id="rId137" location="/courses/view/65cf8b76f40b27dda026d4ae" display="https://uwaterloo.ca/academic-calendar/undergraduate-studies/catalog - /courses/view/65cf8b76f40b27dda026d4ae" xr:uid="{8FFA3462-A9B3-CF4F-8283-98533093C1C3}"/>
    <hyperlink ref="B191" r:id="rId138" location="/courses/view/6787cd09c80049e7ba26d034" display="https://uwaterloo.ca/academic-calendar/undergraduate-studies/catalog - /courses/view/6787cd09c80049e7ba26d034" xr:uid="{60C21EB5-E472-1F42-8249-B85C05B856BC}"/>
    <hyperlink ref="B192" r:id="rId139" location="/courses/view/65ac8e5b5f440450eff25699" display="https://uwaterloo.ca/academic-calendar/undergraduate-studies/catalog - /courses/view/65ac8e5b5f440450eff25699" xr:uid="{A8E1FB15-B01D-FD42-9137-99D4B49E7DD8}"/>
    <hyperlink ref="B193" r:id="rId140" location="/courses/view/65cf8714b40640f079dde81f" display="https://uwaterloo.ca/academic-calendar/undergraduate-studies/catalog - /courses/view/65cf8714b40640f079dde81f" xr:uid="{ED7230D0-2922-5B40-AE76-84F6425E60A7}"/>
    <hyperlink ref="B194" r:id="rId141" location="/courses/view/67bf2f5023a6be8bfcdb0fff" display="https://uwaterloo.ca/academic-calendar/undergraduate-studies/catalog - /courses/view/67bf2f5023a6be8bfcdb0fff" xr:uid="{2EDFBCF7-9B68-D647-86A0-10E10F0650E1}"/>
    <hyperlink ref="B195" r:id="rId142" location="/courses/view/65ac920c23cba738ff477ce5" display="https://uwaterloo.ca/academic-calendar/undergraduate-studies/catalog - /courses/view/65ac920c23cba738ff477ce5" xr:uid="{046E9C70-9978-034A-8A79-69F0D4C7F9CC}"/>
    <hyperlink ref="B196" r:id="rId143" location="/courses/view/69aa7a1b306256e3f129faa8" display="https://uwaterloo.ca/academic-calendar/undergraduate-studies/catalog - /courses/view/69aa7a1b306256e3f129faa8" xr:uid="{D1C57FED-1A20-9A4D-B152-014440501912}"/>
    <hyperlink ref="B197" r:id="rId144" location="/courses/view/69aa758fdf9c42c28b619018" display="https://uwaterloo.ca/academic-calendar/undergraduate-studies/catalog - /courses/view/69aa758fdf9c42c28b619018" xr:uid="{071F4291-ED93-5B45-85BC-28C9C7C2574B}"/>
    <hyperlink ref="B198" r:id="rId145" location="/courses/view/69aa75e713e1b07a8b5b26b6" display="https://uwaterloo.ca/academic-calendar/undergraduate-studies/catalog - /courses/view/69aa75e713e1b07a8b5b26b6" xr:uid="{55277CD7-CD76-5349-A87F-FCC24ADD003C}"/>
    <hyperlink ref="B199" r:id="rId146" location="/courses/view/69aa75e98197cc8370a4f90d" display="https://uwaterloo.ca/academic-calendar/undergraduate-studies/catalog - /courses/view/69aa75e98197cc8370a4f90d" xr:uid="{774F9D54-510A-5943-8D55-4BDE86812814}"/>
    <hyperlink ref="B200" r:id="rId147" location="/courses/view/69aa6a8817940b8f16d39fdd" display="https://uwaterloo.ca/academic-calendar/undergraduate-studies/catalog - /courses/view/69aa6a8817940b8f16d39fdd" xr:uid="{3A4F060F-CF48-194B-9E00-ADA07F8F7A65}"/>
    <hyperlink ref="B201" r:id="rId148" location="/courses/view/69aa779288df55191cbc47c8" display="https://uwaterloo.ca/academic-calendar/undergraduate-studies/catalog - /courses/view/69aa779288df55191cbc47c8" xr:uid="{50FC7706-555E-6F43-A708-0B18B9FAAD3D}"/>
    <hyperlink ref="B202" r:id="rId149" location="/courses/view/69aa746aab246f872d3ce7f1" display="https://uwaterloo.ca/academic-calendar/undergraduate-studies/catalog - /courses/view/69aa746aab246f872d3ce7f1" xr:uid="{C6376892-AD3F-A646-9D8F-E6BF79A33A5D}"/>
    <hyperlink ref="B203" r:id="rId150" location="/courses/view/69aa73e48197cc8370a4eb48" display="https://uwaterloo.ca/academic-calendar/undergraduate-studies/catalog - /courses/view/69aa73e48197cc8370a4eb48" xr:uid="{CD9FE845-9C96-E644-B3EA-FFB844623F1E}"/>
    <hyperlink ref="B204" r:id="rId151" location="/courses/view/69aa6a875cacac2fbe7fa255" display="https://uwaterloo.ca/academic-calendar/undergraduate-studies/catalog - /courses/view/69aa6a875cacac2fbe7fa255" xr:uid="{B60E9046-1BB9-0C45-988D-8D12047DEA51}"/>
    <hyperlink ref="B205" r:id="rId152" location="/courses/view/69aa6a8a88fba4af19cb1abc" display="https://uwaterloo.ca/academic-calendar/undergraduate-studies/catalog - /courses/view/69aa6a8a88fba4af19cb1abc" xr:uid="{0769CBC6-68E4-9C46-A84F-21050EF2FA05}"/>
    <hyperlink ref="B206" r:id="rId153" location="/courses/view/69aa6d9b5cacac2fbe7fbf4f" display="https://uwaterloo.ca/academic-calendar/undergraduate-studies/catalog - /courses/view/69aa6d9b5cacac2fbe7fbf4f" xr:uid="{AD3A1CCA-B054-3F4D-8A41-D5B8E6F07D4B}"/>
    <hyperlink ref="B207" r:id="rId154" location="/courses/view/69aa795b17940b8f16d41cfb" display="https://uwaterloo.ca/academic-calendar/undergraduate-studies/catalog - /courses/view/69aa795b17940b8f16d41cfb" xr:uid="{DBDF665E-FE23-D843-AE85-91CA03BD3529}"/>
    <hyperlink ref="B208" r:id="rId155" location="/courses/view/69aa779f17940b8f16d40b1b" display="https://uwaterloo.ca/academic-calendar/undergraduate-studies/catalog - /courses/view/69aa779f17940b8f16d40b1b" xr:uid="{DB88D6D2-58C2-B446-853A-2F338C3538AB}"/>
    <hyperlink ref="B209" r:id="rId156" location="/courses/view/69aa6a9cdf9c42c28b612ac6" display="https://uwaterloo.ca/academic-calendar/undergraduate-studies/catalog - /courses/view/69aa6a9cdf9c42c28b612ac6" xr:uid="{60412F9A-71BB-D341-ACB9-D4F7985325F8}"/>
    <hyperlink ref="B210" r:id="rId157" location="/courses/view/69aa6aaa0cdb8bf7a703ea0f" display="https://uwaterloo.ca/academic-calendar/undergraduate-studies/catalog - /courses/view/69aa6aaa0cdb8bf7a703ea0f" xr:uid="{67396BC0-C75D-B24F-8711-CBE0FB6B9E74}"/>
    <hyperlink ref="B211" r:id="rId158" location="/courses/view/69aa779413e1b07a8b5b2945" display="https://uwaterloo.ca/academic-calendar/undergraduate-studies/catalog - /courses/view/69aa779413e1b07a8b5b2945" xr:uid="{0248FD70-CC22-A54A-B201-78B4D6290EE7}"/>
    <hyperlink ref="B212" r:id="rId159" location="/courses/view/69aa6da113e1b07a8b5ad6ea" display="https://uwaterloo.ca/academic-calendar/undergraduate-studies/catalog - /courses/view/69aa6da113e1b07a8b5ad6ea" xr:uid="{6F281386-B234-F94F-BABC-1A46C622E9AA}"/>
    <hyperlink ref="B213" r:id="rId160" location="/courses/view/69aa73dd0cdb8bf7a7044631" display="https://uwaterloo.ca/academic-calendar/undergraduate-studies/catalog - /courses/view/69aa73dd0cdb8bf7a7044631" xr:uid="{F47AFF2E-C12F-824F-87EE-F3A5793F4980}"/>
    <hyperlink ref="B214" r:id="rId161" location="/courses/view/69aa75aa943da42afcc5dcc9" display="https://uwaterloo.ca/academic-calendar/undergraduate-studies/catalog - /courses/view/69aa75aa943da42afcc5dcc9" xr:uid="{A32ADAF3-1D17-5944-BA31-AC4D9B9346B6}"/>
    <hyperlink ref="B215" r:id="rId162" location="/courses/view/69aa7a1288fba4af19cba169" display="https://uwaterloo.ca/academic-calendar/undergraduate-studies/catalog - /courses/view/69aa7a1288fba4af19cba169" xr:uid="{12DA1900-54CE-5442-871B-255116F90C7E}"/>
    <hyperlink ref="B216" r:id="rId163" location="/courses/view/69aa6aab8197cc8370a48bc4" display="https://uwaterloo.ca/academic-calendar/undergraduate-studies/catalog - /courses/view/69aa6aab8197cc8370a48bc4" xr:uid="{859DB9D8-2230-1E46-B186-037DA5F5A7EB}"/>
    <hyperlink ref="B217" r:id="rId164" location="/courses/view/69aa6aad405ebfa9d2b52702" display="https://uwaterloo.ca/academic-calendar/undergraduate-studies/catalog - /courses/view/69aa6aad405ebfa9d2b52702" xr:uid="{A9946309-B3FE-DF48-8934-86F4AF27B90B}"/>
    <hyperlink ref="B218" r:id="rId165" location="/courses/view/69aa6ae7ab246f872d3c854a" display="https://uwaterloo.ca/academic-calendar/undergraduate-studies/catalog - /courses/view/69aa6ae7ab246f872d3c854a" xr:uid="{B6914E60-4A80-8E49-B451-BF820319DC80}"/>
    <hyperlink ref="B219" r:id="rId166" location="/courses/view/69aa6e18405ebfa9d2b54785" display="https://uwaterloo.ca/academic-calendar/undergraduate-studies/catalog - /courses/view/69aa6e18405ebfa9d2b54785" xr:uid="{39FEA2CC-DACB-4949-A6EE-06D207429470}"/>
    <hyperlink ref="B220" r:id="rId167" location="/courses/view/69aa732a13e1b07a8b5b1306" display="https://uwaterloo.ca/academic-calendar/undergraduate-studies/catalog - /courses/view/69aa732a13e1b07a8b5b1306" xr:uid="{E603C5D0-3BB9-0342-84FB-A1A434EC0BBF}"/>
    <hyperlink ref="B221" r:id="rId168" location="/courses/view/69aa6ae988fba4af19cb1f45" display="https://uwaterloo.ca/academic-calendar/undergraduate-studies/catalog - /courses/view/69aa6ae988fba4af19cb1f45" xr:uid="{F9225553-FA94-8F45-AE84-330087D879EA}"/>
    <hyperlink ref="B222" r:id="rId169" location="/courses/view/69aa70ed8197cc8370a4cc39" display="https://uwaterloo.ca/academic-calendar/undergraduate-studies/catalog - /courses/view/69aa70ed8197cc8370a4cc39" xr:uid="{E367B6FD-22A3-0344-827B-EA75067877C1}"/>
    <hyperlink ref="B223" r:id="rId170" location="/courses/view/69aa6afa405ebfa9d2b529d5" display="https://uwaterloo.ca/academic-calendar/undergraduate-studies/catalog - /courses/view/69aa6afa405ebfa9d2b529d5" xr:uid="{C71E1D36-F7F1-A54F-91CD-F4888C558AC4}"/>
    <hyperlink ref="B224" r:id="rId171" location="/courses/view/69aa6afb17940b8f16d3a37c" display="https://uwaterloo.ca/academic-calendar/undergraduate-studies/catalog - /courses/view/69aa6afb17940b8f16d3a37c" xr:uid="{C109A285-EA6A-5445-99AD-B8F0FAAE0B0A}"/>
    <hyperlink ref="B225" r:id="rId172" location="/courses/view/69aa70cc8197cc8370a4cba5" display="https://uwaterloo.ca/academic-calendar/undergraduate-studies/catalog - /courses/view/69aa70cc8197cc8370a4cba5" xr:uid="{B8603BF8-35C4-CF41-97B0-C95D0CF09A4B}"/>
    <hyperlink ref="B226" r:id="rId173" location="/courses/view/69aa6d5513e1b07a8b5ad385" display="https://uwaterloo.ca/academic-calendar/undergraduate-studies/catalog - /courses/view/69aa6d5513e1b07a8b5ad385" xr:uid="{37E0626C-87FC-2342-92BB-9277AAEEF32F}"/>
    <hyperlink ref="B227" r:id="rId174" location="/courses/view/69aa73b6943da42afcc5d0b1" display="https://uwaterloo.ca/academic-calendar/undergraduate-studies/catalog - /courses/view/69aa73b6943da42afcc5d0b1" xr:uid="{E2390986-9FFC-D144-88FB-58F4E65792D5}"/>
    <hyperlink ref="B228" r:id="rId175" location="/courses/view/69aa70ceab246f872d3cc3f8" display="https://uwaterloo.ca/academic-calendar/undergraduate-studies/catalog - /courses/view/69aa70ceab246f872d3cc3f8" xr:uid="{0272A470-53B9-A148-8B9B-C90CE62A0426}"/>
    <hyperlink ref="B229" r:id="rId176" location="/courses/view/69aa78975cacac2fbe801564" display="https://uwaterloo.ca/academic-calendar/undergraduate-studies/catalog - /courses/view/69aa78975cacac2fbe801564" xr:uid="{10EE8BEE-E565-E544-82E3-3F6F4AF4C9DF}"/>
    <hyperlink ref="B230" r:id="rId177" location="/courses/view/69aa6b05405ebfa9d2b52a40" display="https://uwaterloo.ca/academic-calendar/undergraduate-studies/catalog - /courses/view/69aa6b05405ebfa9d2b52a40" xr:uid="{7E01475E-82C9-1842-8783-464E7F129C1A}"/>
    <hyperlink ref="B231" r:id="rId178" location="/courses/view/69aa6b0617940b8f16d3a3d2" display="https://uwaterloo.ca/academic-calendar/undergraduate-studies/catalog - /courses/view/69aa6b0617940b8f16d3a3d2" xr:uid="{0BA4A66B-E604-DD4E-A55F-30B24617E7CE}"/>
    <hyperlink ref="B232" r:id="rId179" location="/courses/view/69aa6b130cdb8bf7a703ee0e" display="https://uwaterloo.ca/academic-calendar/undergraduate-studies/catalog - /courses/view/69aa6b130cdb8bf7a703ee0e" xr:uid="{0354DED6-259A-FF44-9CD2-212B2E06FE87}"/>
    <hyperlink ref="B233" r:id="rId180" location="/courses/view/69aa732e943da42afcc5cadd" display="https://uwaterloo.ca/academic-calendar/undergraduate-studies/catalog - /courses/view/69aa732e943da42afcc5cadd" xr:uid="{723459E2-374C-4544-96F7-3FEAA5AFD10A}"/>
    <hyperlink ref="B234" r:id="rId181" location="/courses/view/69aa79595cacac2fbe801c55" display="https://uwaterloo.ca/academic-calendar/undergraduate-studies/catalog - /courses/view/69aa79595cacac2fbe801c55" xr:uid="{632AB8FC-8101-F341-A065-31DFBE404C54}"/>
    <hyperlink ref="B235" r:id="rId182" location="/courses/view/69aa7957df9c42c28b61a9d0" display="https://uwaterloo.ca/academic-calendar/undergraduate-studies/catalog - /courses/view/69aa7957df9c42c28b61a9d0" xr:uid="{C7074819-6AEA-CE43-8483-BEF34F984876}"/>
    <hyperlink ref="B236" r:id="rId183" location="/courses/view/69aa6b35df9c42c28b6130f3" display="https://uwaterloo.ca/academic-calendar/undergraduate-studies/catalog - /courses/view/69aa6b35df9c42c28b6130f3" xr:uid="{CE713E59-AB58-6843-8D2B-15136271E4C7}"/>
    <hyperlink ref="B237" r:id="rId184" location="/courses/view/69aa6b3613e1b07a8b5abb4c" display="https://uwaterloo.ca/academic-calendar/undergraduate-studies/catalog - /courses/view/69aa6b3613e1b07a8b5abb4c" xr:uid="{EEDBACBF-D9F3-E149-8D4C-420C714F25CE}"/>
    <hyperlink ref="B238" r:id="rId185" location="/courses/view/68b07d9f0ff040cf3d72cead" display="https://uwaterloo.ca/academic-calendar/undergraduate-studies/catalog - /courses/view/68b07d9f0ff040cf3d72cead" xr:uid="{64911DEF-2DC7-9D48-9250-60B0F5A335FD}"/>
    <hyperlink ref="B239" r:id="rId186" location="/courses/view/660d67ea5323804d54614cdd" display="https://uwaterloo.ca/academic-calendar/undergraduate-studies/catalog - /courses/view/660d67ea5323804d54614cdd" xr:uid="{74510918-9F16-4F42-8245-E7CBFACBAB80}"/>
    <hyperlink ref="B240" r:id="rId187" location="/courses/view/69aa6f6588df55191cbc09a8" display="https://uwaterloo.ca/academic-calendar/undergraduate-studies/catalog - /courses/view/69aa6f6588df55191cbc09a8" xr:uid="{45F9EC26-74E1-CD40-92F1-7D6F09366F27}"/>
    <hyperlink ref="B241" r:id="rId188" location="/courses/view/69aa6fd8405ebfa9d2b5597d" display="https://uwaterloo.ca/academic-calendar/undergraduate-studies/catalog - /courses/view/69aa6fd8405ebfa9d2b5597d" xr:uid="{C274A290-5E44-A74F-BE06-2B4457050169}"/>
    <hyperlink ref="B242" r:id="rId189" location="/courses/view/69aa6e290cdb8bf7a7040c89" display="https://uwaterloo.ca/academic-calendar/undergraduate-studies/catalog - /courses/view/69aa6e290cdb8bf7a7040c89" xr:uid="{9D2ED5FD-A9E2-5845-A50B-69BA29E6EED0}"/>
    <hyperlink ref="B243" r:id="rId190" location="/courses/view/69aa723513e1b07a8b5b084e" display="https://uwaterloo.ca/academic-calendar/undergraduate-studies/catalog - /courses/view/69aa723513e1b07a8b5b084e" xr:uid="{E313FD98-CC42-1349-A608-8512D27CF42D}"/>
    <hyperlink ref="B244" r:id="rId191" location="/courses/view/69aa6f66405ebfa9d2b55507" display="https://uwaterloo.ca/academic-calendar/undergraduate-studies/catalog - /courses/view/69aa6f66405ebfa9d2b55507" xr:uid="{D765A39C-D4FA-0841-A5BC-C0B6270890C9}"/>
    <hyperlink ref="B245" r:id="rId192" location="/courses/view/69aa6f6f943da42afcc5a5ad" display="https://uwaterloo.ca/academic-calendar/undergraduate-studies/catalog - /courses/view/69aa6f6f943da42afcc5a5ad" xr:uid="{4C9B3200-E75C-244A-9F82-D00799E613B5}"/>
    <hyperlink ref="B246" r:id="rId193" location="/courses/view/69aa6b555cacac2fbe7fa955" display="https://uwaterloo.ca/academic-calendar/undergraduate-studies/catalog - /courses/view/69aa6b555cacac2fbe7fa955" xr:uid="{1D3832CA-F376-5245-9C8A-D9EE54D6F952}"/>
    <hyperlink ref="B247" r:id="rId194" location="/courses/view/69aa6b578197cc8370a492cd" display="https://uwaterloo.ca/academic-calendar/undergraduate-studies/catalog - /courses/view/69aa6b578197cc8370a492cd" xr:uid="{4816CB50-A58E-D549-8046-A29E0975C812}"/>
    <hyperlink ref="B248" r:id="rId195" location="/courses/view/69aa6b590cdb8bf7a703f11e" display="https://uwaterloo.ca/academic-calendar/undergraduate-studies/catalog - /courses/view/69aa6b590cdb8bf7a703f11e" xr:uid="{B4EC2CCC-43BD-F94E-BB11-FD3C2D084246}"/>
    <hyperlink ref="B249" r:id="rId196" location="/courses/view/69aa6b5a13e1b07a8b5abcd4" display="https://uwaterloo.ca/academic-calendar/undergraduate-studies/catalog - /courses/view/69aa6b5a13e1b07a8b5abcd4" xr:uid="{B3C6BC70-80DC-2347-BD67-1836AFDC8A4F}"/>
    <hyperlink ref="B250" r:id="rId197" location="/courses/view/69aa6b5e0cdb8bf7a703f151" display="https://uwaterloo.ca/academic-calendar/undergraduate-studies/catalog - /courses/view/69aa6b5e0cdb8bf7a703f151" xr:uid="{BEF34439-E7B2-3140-B6AD-54A76D8DD800}"/>
    <hyperlink ref="B251" r:id="rId198" location="/courses/view/69aa6b60df9c42c28b6132d1" display="https://uwaterloo.ca/academic-calendar/undergraduate-studies/catalog - /courses/view/69aa6b60df9c42c28b6132d1" xr:uid="{B6102958-C78A-E644-A3D8-22F8A5D250EA}"/>
    <hyperlink ref="B252" r:id="rId199" location="/courses/view/69aa6f6888fba4af19cb4d1c" display="https://uwaterloo.ca/academic-calendar/undergraduate-studies/catalog - /courses/view/69aa6f6888fba4af19cb4d1c" xr:uid="{2533D205-CAF4-484A-A8D1-CD5DCE2B0151}"/>
    <hyperlink ref="B253" r:id="rId200" location="/courses/view/69aa6b65ab246f872d3c8992" display="https://uwaterloo.ca/academic-calendar/undergraduate-studies/catalog - /courses/view/69aa6b65ab246f872d3c8992" xr:uid="{2C3CBCF6-12B8-154D-A771-7A84617C5C47}"/>
    <hyperlink ref="B254" r:id="rId201" location="/courses/view/69aa6b6413e1b07a8b5abd81" display="https://uwaterloo.ca/academic-calendar/undergraduate-studies/catalog - /courses/view/69aa6b6413e1b07a8b5abd81" xr:uid="{E2C0F330-B5AD-144C-8BD7-2B41A9CE5366}"/>
    <hyperlink ref="B255" r:id="rId202" location="/courses/view/69aa6b62306256e3f129787f" display="https://uwaterloo.ca/academic-calendar/undergraduate-studies/catalog - /courses/view/69aa6b62306256e3f129787f" xr:uid="{47F15F30-711B-DB4E-B1D6-83480EEDCACB}"/>
    <hyperlink ref="B256" r:id="rId203" location="/courses/view/69aa6f6a405ebfa9d2b55554" display="https://uwaterloo.ca/academic-calendar/undergraduate-studies/catalog - /courses/view/69aa6f6a405ebfa9d2b55554" xr:uid="{ABAB3ADB-517B-3049-8E68-722595805725}"/>
    <hyperlink ref="B257" r:id="rId204" location="/courses/view/69aa6f6bdf9c42c28b615ce3" display="https://uwaterloo.ca/academic-calendar/undergraduate-studies/catalog - /courses/view/69aa6f6bdf9c42c28b615ce3" xr:uid="{5FCE2E08-5F8E-B044-9F12-3C9119C22F61}"/>
    <hyperlink ref="B258" r:id="rId205" location="/courses/view/69aa72370cdb8bf7a7043419" display="https://uwaterloo.ca/academic-calendar/undergraduate-studies/catalog - /courses/view/69aa72370cdb8bf7a7043419" xr:uid="{6495252D-9409-3E44-9074-20BE18B8B644}"/>
    <hyperlink ref="B259" r:id="rId206" location="/courses/view/69aa72388197cc8370a4da2a" display="https://uwaterloo.ca/academic-calendar/undergraduate-studies/catalog - /courses/view/69aa72388197cc8370a4da2a" xr:uid="{8D2A0FFB-1758-EB48-B751-9A1E0B31F53E}"/>
    <hyperlink ref="B260" r:id="rId207" location="/courses/view/69aa7017df9c42c28b61637a" display="https://uwaterloo.ca/academic-calendar/undergraduate-studies/catalog - /courses/view/69aa7017df9c42c28b61637a" xr:uid="{823E3CF7-359A-BC43-88D7-7C6D9DEEE1E9}"/>
    <hyperlink ref="B261" r:id="rId208" location="/courses/view/69aa6b5c943da42afcc57b5e" display="https://uwaterloo.ca/academic-calendar/undergraduate-studies/catalog - /courses/view/69aa6b5c943da42afcc57b5e" xr:uid="{B90D085E-F1D5-2D46-AC36-E1393FFCFD6B}"/>
    <hyperlink ref="B262" r:id="rId209" location="/courses/view/69aa744013e1b07a8b5b1d2f" display="https://uwaterloo.ca/academic-calendar/undergraduate-studies/catalog - /courses/view/69aa744013e1b07a8b5b1d2f" xr:uid="{E4FEBE9A-0C2A-EA4A-B6DA-9064801299DC}"/>
    <hyperlink ref="B263" r:id="rId210" location="/courses/view/69aa6b728197cc8370a49424" display="https://uwaterloo.ca/academic-calendar/undergraduate-studies/catalog - /courses/view/69aa6b728197cc8370a49424" xr:uid="{A43E9974-5E85-9E42-8957-F7ACF09E9CAB}"/>
    <hyperlink ref="B264" r:id="rId211" location="/courses/view/69aa704317940b8f16d3d660" display="https://uwaterloo.ca/academic-calendar/undergraduate-studies/catalog - /courses/view/69aa704317940b8f16d3d660" xr:uid="{11DAF2E0-1653-1C4F-ADA4-9F293AFA4224}"/>
    <hyperlink ref="B265" r:id="rId212" location="/courses/view/69aa6b7d306256e3f129794e" display="https://uwaterloo.ca/academic-calendar/undergraduate-studies/catalog - /courses/view/69aa6b7d306256e3f129794e" xr:uid="{47A3A9C3-D70A-DE42-8D92-FCF7E17765ED}"/>
    <hyperlink ref="B266" r:id="rId213" location="/courses/view/69aa6b7f88fba4af19cb23db" display="https://uwaterloo.ca/academic-calendar/undergraduate-studies/catalog - /courses/view/69aa6b7f88fba4af19cb23db" xr:uid="{C6DC5E2C-66AE-1246-8EFF-5C6B60BCFFBA}"/>
    <hyperlink ref="B267" r:id="rId214" location="/courses/view/69aa6b8188fba4af19cb240e" display="https://uwaterloo.ca/academic-calendar/undergraduate-studies/catalog - /courses/view/69aa6b8188fba4af19cb240e" xr:uid="{D9066778-7F41-CA45-9189-0047DFE28EFE}"/>
    <hyperlink ref="B268" r:id="rId215" location="/courses/view/69aa6b8413e1b07a8b5abeea" display="https://uwaterloo.ca/academic-calendar/undergraduate-studies/catalog - /courses/view/69aa6b8413e1b07a8b5abeea" xr:uid="{BC728831-1E5F-2C4D-91EA-F170ACE37710}"/>
    <hyperlink ref="B269" r:id="rId216" location="/courses/view/69aa6b875cacac2fbe7faae8" display="https://uwaterloo.ca/academic-calendar/undergraduate-studies/catalog - /courses/view/69aa6b875cacac2fbe7faae8" xr:uid="{62D30E1D-8A59-A541-8560-155BDE1CD89F}"/>
    <hyperlink ref="B270" r:id="rId217" location="/courses/view/69aa6b8817940b8f16d3a6da" display="https://uwaterloo.ca/academic-calendar/undergraduate-studies/catalog - /courses/view/69aa6b8817940b8f16d3a6da" xr:uid="{F9320AAE-5D85-854F-AC99-2701019847C5}"/>
    <hyperlink ref="B271" r:id="rId218" location="/courses/view/69aa6b8bab246f872d3c8ac0" display="https://uwaterloo.ca/academic-calendar/undergraduate-studies/catalog - /courses/view/69aa6b8bab246f872d3c8ac0" xr:uid="{7ED7B535-729A-AD4E-A40B-FEFA255883AE}"/>
    <hyperlink ref="B272" r:id="rId219" location="/courses/view/69aa6b8d943da42afcc57def" display="https://uwaterloo.ca/academic-calendar/undergraduate-studies/catalog - /courses/view/69aa6b8d943da42afcc57def" xr:uid="{29A1778B-361B-014E-8557-E329AAADF050}"/>
    <hyperlink ref="B273" r:id="rId220" location="/courses/view/69aa6b8f405ebfa9d2b52eb3" display="https://uwaterloo.ca/academic-calendar/undergraduate-studies/catalog - /courses/view/69aa6b8f405ebfa9d2b52eb3" xr:uid="{7ADD8220-BA8D-1E44-A08E-1E835D1A236A}"/>
    <hyperlink ref="B274" r:id="rId221" location="/courses/view/69aa6b9617940b8f16d3a745" display="https://uwaterloo.ca/academic-calendar/undergraduate-studies/catalog - /courses/view/69aa6b9617940b8f16d3a745" xr:uid="{2EFD6B8D-3F23-5946-B41A-A7E69F400FCA}"/>
    <hyperlink ref="B275" r:id="rId222" location="/courses/view/69aa6b9c405ebfa9d2b52f21" display="https://uwaterloo.ca/academic-calendar/undergraduate-studies/catalog - /courses/view/69aa6b9c405ebfa9d2b52f21" xr:uid="{50E6793E-956A-6F49-85AB-3F84AE5F8681}"/>
    <hyperlink ref="B276" r:id="rId223" location="/courses/view/69aa6f2d943da42afcc5a328" display="https://uwaterloo.ca/academic-calendar/undergraduate-studies/catalog - /courses/view/69aa6f2d943da42afcc5a328" xr:uid="{1653A906-2504-3E4E-8B6B-A98D1E7164AD}"/>
    <hyperlink ref="B277" r:id="rId224" location="/courses/view/69aa6fee88df55191cbc0f99" display="https://uwaterloo.ca/academic-calendar/undergraduate-studies/catalog - /courses/view/69aa6fee88df55191cbc0f99" xr:uid="{677CB68C-BDE9-814C-84FE-21DEBE8E697B}"/>
    <hyperlink ref="B278" r:id="rId225" location="/courses/view/69aa6ba7df9c42c28b6135d0" display="https://uwaterloo.ca/academic-calendar/undergraduate-studies/catalog - /courses/view/69aa6ba7df9c42c28b6135d0" xr:uid="{1EBFA167-64F6-5848-AF58-6514BEB43E3C}"/>
    <hyperlink ref="B279" r:id="rId226" location="/courses/view/69aa6ba95cacac2fbe7fabaf" display="https://uwaterloo.ca/academic-calendar/undergraduate-studies/catalog - /courses/view/69aa6ba95cacac2fbe7fabaf" xr:uid="{CB1996A5-7D50-6241-8FA2-7FBE15D055CE}"/>
    <hyperlink ref="B280" r:id="rId227" location="/courses/view/69aa6bb08197cc8370a49643" display="https://uwaterloo.ca/academic-calendar/undergraduate-studies/catalog - /courses/view/69aa6bb08197cc8370a49643" xr:uid="{578DDED4-762E-A746-8CAF-358B5CF3DE14}"/>
    <hyperlink ref="B281" r:id="rId228" location="/courses/view/66feb767ad8cd0799365c7ea" display="https://uwaterloo.ca/academic-calendar/undergraduate-studies/catalog - /courses/view/66feb767ad8cd0799365c7ea" xr:uid="{AFF32AE9-4603-8F45-8AF3-C6730CCCE348}"/>
    <hyperlink ref="B282" r:id="rId229" location="/courses/view/68ca09fa18f0b18a709e2da4" display="https://uwaterloo.ca/academic-calendar/undergraduate-studies/catalog - /courses/view/68ca09fa18f0b18a709e2da4" xr:uid="{E2CC7E46-4D84-F441-BC83-2CB6A285724A}"/>
    <hyperlink ref="B283" r:id="rId230" location="/courses/view/69aa6bc3ab246f872d3c8d24" display="https://uwaterloo.ca/academic-calendar/undergraduate-studies/catalog - /courses/view/69aa6bc3ab246f872d3c8d24" xr:uid="{1AD471D8-FA57-7441-A109-7B1A14F9F1B9}"/>
    <hyperlink ref="B284" r:id="rId231" location="/courses/view/69aa6bc517940b8f16d3a8a0" display="https://uwaterloo.ca/academic-calendar/undergraduate-studies/catalog - /courses/view/69aa6bc517940b8f16d3a8a0" xr:uid="{3C18CD39-4D10-C743-A09C-42561C171202}"/>
    <hyperlink ref="B285" r:id="rId232" location="/courses/view/69aa6bc70cdb8bf7a703f4ac" display="https://uwaterloo.ca/academic-calendar/undergraduate-studies/catalog - /courses/view/69aa6bc70cdb8bf7a703f4ac" xr:uid="{0D1AF3F9-43C4-5843-A168-BCF7AB18A969}"/>
    <hyperlink ref="B286" r:id="rId233" location="/courses/view/69aa6bc9df9c42c28b613699" display="https://uwaterloo.ca/academic-calendar/undergraduate-studies/catalog - /courses/view/69aa6bc9df9c42c28b613699" xr:uid="{53723CF5-0821-E446-941A-9945F38B9188}"/>
    <hyperlink ref="B287" r:id="rId234" location="/courses/view/69aa6ffc88fba4af19cb52b4" display="https://uwaterloo.ca/academic-calendar/undergraduate-studies/catalog - /courses/view/69aa6ffc88fba4af19cb52b4" xr:uid="{F3C0892D-2FAB-4D4B-8780-F9A395AABFD5}"/>
    <hyperlink ref="B288" r:id="rId235" location="/courses/view/69aa6e3cdf9c42c28b6150be" display="https://uwaterloo.ca/academic-calendar/undergraduate-studies/catalog - /courses/view/69aa6e3cdf9c42c28b6150be" xr:uid="{DA35691B-0289-7445-A3E2-6A83169C5114}"/>
    <hyperlink ref="B289" r:id="rId236" location="/courses/view/69aa73f8ab246f872d3ce3ec" display="https://uwaterloo.ca/academic-calendar/undergraduate-studies/catalog - /courses/view/69aa73f8ab246f872d3ce3ec" xr:uid="{959CD87C-1A76-5F40-B172-240473AA564D}"/>
    <hyperlink ref="B290" r:id="rId237" location="/courses/view/69aa6e3e943da42afcc59889" display="https://uwaterloo.ca/academic-calendar/undergraduate-studies/catalog - /courses/view/69aa6e3e943da42afcc59889" xr:uid="{F74EC68A-9B88-7E4B-BDC7-0340386704B2}"/>
    <hyperlink ref="B291" r:id="rId238" location="/courses/view/69aa6e3f88df55191cbbfc02" display="https://uwaterloo.ca/academic-calendar/undergraduate-studies/catalog - /courses/view/69aa6e3f88df55191cbbfc02" xr:uid="{7E7C1C09-B6E7-A44A-8D41-B3064A753C54}"/>
    <hyperlink ref="B292" r:id="rId239" location="/courses/view/69aa6fa1ab246f872d3cb778" display="https://uwaterloo.ca/academic-calendar/undergraduate-studies/catalog - /courses/view/69aa6fa1ab246f872d3cb778" xr:uid="{3C7BC5E1-7520-AF4A-9DD2-16E01258B723}"/>
    <hyperlink ref="B293" r:id="rId240" location="/courses/view/69aa6fa2306256e3f129a4ea" display="https://uwaterloo.ca/academic-calendar/undergraduate-studies/catalog - /courses/view/69aa6fa2306256e3f129a4ea" xr:uid="{8F1D65CF-14A5-1440-8DEA-888164EDA8AD}"/>
    <hyperlink ref="B294" r:id="rId241" location="/courses/view/69aa6e4188fba4af19cb3fa0" display="https://uwaterloo.ca/academic-calendar/undergraduate-studies/catalog - /courses/view/69aa6e4188fba4af19cb3fa0" xr:uid="{7B30EEE9-AB03-1449-A88E-92AA9C1298D1}"/>
    <hyperlink ref="B295" r:id="rId242" location="/courses/view/69aa6e438197cc8370a4b077" display="https://uwaterloo.ca/academic-calendar/undergraduate-studies/catalog - /courses/view/69aa6e438197cc8370a4b077" xr:uid="{99148D2C-65C0-0B48-898A-45DE479EAF78}"/>
    <hyperlink ref="B296" r:id="rId243" location="/courses/view/69aa733a88fba4af19cb7412" display="https://uwaterloo.ca/academic-calendar/undergraduate-studies/catalog - /courses/view/69aa733a88fba4af19cb7412" xr:uid="{A22FFAA6-D462-334A-9C38-E8B55442622F}"/>
    <hyperlink ref="B297" r:id="rId244" location="/courses/view/69aa733dab246f872d3cdc00" display="https://uwaterloo.ca/academic-calendar/undergraduate-studies/catalog - /courses/view/69aa733dab246f872d3cdc00" xr:uid="{C34159C7-E88C-954C-9F12-319E5CD04C3D}"/>
    <hyperlink ref="B298" r:id="rId245" location="/courses/view/69aa6f5bab246f872d3cb45f" display="https://uwaterloo.ca/academic-calendar/undergraduate-studies/catalog - /courses/view/69aa6f5bab246f872d3cb45f" xr:uid="{520D8087-3A27-F34B-979E-200E036171A8}"/>
    <hyperlink ref="B299" r:id="rId246" location="/courses/view/69aa733f943da42afcc5cb8a" display="https://uwaterloo.ca/academic-calendar/undergraduate-studies/catalog - /courses/view/69aa733f943da42afcc5cb8a" xr:uid="{B2A7A0C1-3612-5146-AE7A-22C5CAB52517}"/>
    <hyperlink ref="B300" r:id="rId247" location="/courses/view/69a9e33bdf9c42c28b602180" display="https://uwaterloo.ca/academic-calendar/undergraduate-studies/catalog - /courses/view/69a9e33bdf9c42c28b602180" xr:uid="{A6192BDC-3DBB-4243-A945-0912850CA1B7}"/>
    <hyperlink ref="B301" r:id="rId248" location="/courses/view/69a9e3e717940b8f16d294a5" display="https://uwaterloo.ca/academic-calendar/undergraduate-studies/catalog - /courses/view/69a9e3e717940b8f16d294a5" xr:uid="{EDB31367-C958-B241-B34E-76152A0B6B34}"/>
    <hyperlink ref="B302" r:id="rId249" location="/courses/view/65b51e5a7786309fdd7fe7d4" display="https://uwaterloo.ca/academic-calendar/undergraduate-studies/catalog - /courses/view/65b51e5a7786309fdd7fe7d4" xr:uid="{05E08A5A-653B-A147-8794-7ABDB3722FC8}"/>
    <hyperlink ref="B303" r:id="rId250" location="/courses/view/65b51fe93f91c7475f68f126" display="https://uwaterloo.ca/academic-calendar/undergraduate-studies/catalog - /courses/view/65b51fe93f91c7475f68f126" xr:uid="{992DCF74-136F-8E45-930A-9624831977BE}"/>
    <hyperlink ref="B304" r:id="rId251" location="/courses/view/69aa6bfa306256e3f1297e91" display="https://uwaterloo.ca/academic-calendar/undergraduate-studies/catalog - /courses/view/69aa6bfa306256e3f1297e91" xr:uid="{A9E0A2B8-56BF-F241-95B4-9D9E10D13A65}"/>
    <hyperlink ref="B305" r:id="rId252" location="/courses/view/69aa6bfc88df55191cbbe307" display="https://uwaterloo.ca/academic-calendar/undergraduate-studies/catalog - /courses/view/69aa6bfc88df55191cbbe307" xr:uid="{56788A3E-A809-B04B-AF0D-937471683ACD}"/>
    <hyperlink ref="B306" r:id="rId253" location="/courses/view/69aa6bfedf9c42c28b6138b0" display="https://uwaterloo.ca/academic-calendar/undergraduate-studies/catalog - /courses/view/69aa6bfedf9c42c28b6138b0" xr:uid="{98142DCC-560A-E84A-93C2-BB86CCE22507}"/>
    <hyperlink ref="B307" r:id="rId254" location="/courses/view/69aa6c018197cc8370a499f4" display="https://uwaterloo.ca/academic-calendar/undergraduate-studies/catalog - /courses/view/69aa6c018197cc8370a499f4" xr:uid="{AD86FE88-5701-1348-82F0-12B84E2D03B3}"/>
    <hyperlink ref="B308" r:id="rId255" location="/courses/view/69aa6ea80cdb8bf7a704115b" display="https://uwaterloo.ca/academic-calendar/undergraduate-studies/catalog - /courses/view/69aa6ea80cdb8bf7a704115b" xr:uid="{746A68F2-C932-0240-A19B-C5B7BA47AEFB}"/>
    <hyperlink ref="B309" r:id="rId256" location="/courses/view/69aa783e0cdb8bf7a7045ca4" display="https://uwaterloo.ca/academic-calendar/undergraduate-studies/catalog - /courses/view/69aa783e0cdb8bf7a7045ca4" xr:uid="{3BA565B6-8C61-0B49-BCC1-80681C5ACF75}"/>
    <hyperlink ref="B310" r:id="rId257" location="/courses/view/67ec06df5c0cb054c4e02b6a" display="https://uwaterloo.ca/academic-calendar/undergraduate-studies/catalog - /courses/view/67ec06df5c0cb054c4e02b6a" xr:uid="{EC145DCF-4445-864A-BDBF-D442A8473586}"/>
    <hyperlink ref="B311" r:id="rId258" location="/courses/view/64a5b8e364e0fe7a1d173bf0" display="https://uwaterloo.ca/academic-calendar/undergraduate-studies/catalog - /courses/view/64a5b8e364e0fe7a1d173bf0" xr:uid="{53734E85-5646-EA41-85ED-9E18C9B6B6B5}"/>
    <hyperlink ref="B312" r:id="rId259" location="/courses/view/6602ed20b11628a69bf9932c" display="https://uwaterloo.ca/academic-calendar/undergraduate-studies/catalog - /courses/view/6602ed20b11628a69bf9932c" xr:uid="{4AF9372A-610F-F349-9241-2D54AD1150DE}"/>
    <hyperlink ref="B313" r:id="rId260" location="/courses/view/65b56ea45c9479aa48e55aa5" display="https://uwaterloo.ca/academic-calendar/undergraduate-studies/catalog - /courses/view/65b56ea45c9479aa48e55aa5" xr:uid="{0DD9EB99-6DA6-ED41-B6A0-413A9DD2ACC6}"/>
    <hyperlink ref="B314" r:id="rId261" location="/courses/view/64a5b9ecb9ada28ea31af33f" display="https://uwaterloo.ca/academic-calendar/undergraduate-studies/catalog - /courses/view/64a5b9ecb9ada28ea31af33f" xr:uid="{5CAD5BC1-7D86-5E42-ABEA-B753C3EA7A1D}"/>
    <hyperlink ref="B315" r:id="rId262" location="/courses/view/66cf57a0f93092099b8d672d" display="https://uwaterloo.ca/academic-calendar/undergraduate-studies/catalog - /courses/view/66cf57a0f93092099b8d672d" xr:uid="{0AA87661-3F5A-0A4E-92A3-F2F236FDA679}"/>
    <hyperlink ref="B316" r:id="rId263" location="/courses/view/66cf5a18358847512633368f" display="https://uwaterloo.ca/academic-calendar/undergraduate-studies/catalog - /courses/view/66cf5a18358847512633368f" xr:uid="{764C3372-60D6-BB41-84F4-F5EACB497957}"/>
    <hyperlink ref="B317" r:id="rId264" location="/courses/view/65b570145c9479999fe55aad" display="https://uwaterloo.ca/academic-calendar/undergraduate-studies/catalog - /courses/view/65b570145c9479999fe55aad" xr:uid="{4ED0263C-676E-244C-9BD7-E088C0E94CD5}"/>
    <hyperlink ref="B318" r:id="rId265" location="/courses/view/65b5720498f04420cb1020a7" display="https://uwaterloo.ca/academic-calendar/undergraduate-studies/catalog - /courses/view/65b5720498f04420cb1020a7" xr:uid="{07603F66-121B-9B49-A060-0E8BF7F53932}"/>
    <hyperlink ref="B319" r:id="rId266" location="/courses/view/66cf5c35eb9509210307d75f" display="https://uwaterloo.ca/academic-calendar/undergraduate-studies/catalog - /courses/view/66cf5c35eb9509210307d75f" xr:uid="{E5CC700A-EF89-1C4B-91BC-D1D943520A28}"/>
    <hyperlink ref="B320" r:id="rId267" location="/courses/view/66cf5ab9e8913d7a65b8112c" display="https://uwaterloo.ca/academic-calendar/undergraduate-studies/catalog - /courses/view/66cf5ab9e8913d7a65b8112c" xr:uid="{568702DB-48F9-934C-AF8D-ACB44BE6C07A}"/>
    <hyperlink ref="B321" r:id="rId268" location="/courses/view/66cf5ccae8913d5eb5b8113f" display="https://uwaterloo.ca/academic-calendar/undergraduate-studies/catalog - /courses/view/66cf5ccae8913d5eb5b8113f" xr:uid="{DF4D2A0B-6330-434A-8AFF-5DE54B86EDE3}"/>
    <hyperlink ref="B322" r:id="rId269" location="/courses/view/69aa77ab5cacac2fbe800c56" display="https://uwaterloo.ca/academic-calendar/undergraduate-studies/catalog - /courses/view/69aa77ab5cacac2fbe800c56" xr:uid="{285AA2CE-BEAB-E64F-9819-7071070D05C3}"/>
    <hyperlink ref="B323" r:id="rId270" location="/courses/view/69aa77aeab246f872d3cf3a8" display="https://uwaterloo.ca/academic-calendar/undergraduate-studies/catalog - /courses/view/69aa77aeab246f872d3cf3a8" xr:uid="{7EAABFCC-8BC4-F446-B3A7-F12FD0F5D51F}"/>
    <hyperlink ref="B324" r:id="rId271" location="/courses/view/69aa77b0ab246f872d3cf3d0" display="https://uwaterloo.ca/academic-calendar/undergraduate-studies/catalog - /courses/view/69aa77b0ab246f872d3cf3d0" xr:uid="{7521A236-1B1C-7C4D-B1BD-11E3277D39C0}"/>
    <hyperlink ref="B325" r:id="rId272" location="/courses/view/69aa77b2943da42afcc5e364" display="https://uwaterloo.ca/academic-calendar/undergraduate-studies/catalog - /courses/view/69aa77b2943da42afcc5e364" xr:uid="{36DD5234-AFBB-8F44-8B59-503DF8E8F314}"/>
    <hyperlink ref="B326" r:id="rId273" location="/courses/view/69aa6d1c5cacac2fbe7fba6b" display="https://uwaterloo.ca/academic-calendar/undergraduate-studies/catalog - /courses/view/69aa6d1c5cacac2fbe7fba6b" xr:uid="{9B4A9AC8-8753-F14C-9412-68B7B1121ADC}"/>
    <hyperlink ref="B327" r:id="rId274" location="/courses/view/69aa6d1e405ebfa9d2b53c60" display="https://uwaterloo.ca/academic-calendar/undergraduate-studies/catalog - /courses/view/69aa6d1e405ebfa9d2b53c60" xr:uid="{C199C63E-A8B0-2842-B2B2-159D01190176}"/>
    <hyperlink ref="B328" r:id="rId275" location="/courses/view/69aa6d20405ebfa9d2b53c8d" display="https://uwaterloo.ca/academic-calendar/undergraduate-studies/catalog - /courses/view/69aa6d20405ebfa9d2b53c8d" xr:uid="{83FAD611-E15E-4744-8F9E-A43D9CEAE386}"/>
    <hyperlink ref="B329" r:id="rId276" location="/courses/view/69aa6d2188fba4af19cb34e2" display="https://uwaterloo.ca/academic-calendar/undergraduate-studies/catalog - /courses/view/69aa6d2188fba4af19cb34e2" xr:uid="{55E149B1-49A6-DF45-808A-4D82A6FED5CB}"/>
    <hyperlink ref="B330" r:id="rId277" location="/courses/view/69aa6efe88fba4af19cb4814" display="https://uwaterloo.ca/academic-calendar/undergraduate-studies/catalog - /courses/view/69aa6efe88fba4af19cb4814" xr:uid="{67E131DF-1511-194D-9E5B-A68193AA10B3}"/>
    <hyperlink ref="B331" r:id="rId278" location="/courses/view/69aa6e4d88df55191cbbfc52" display="https://uwaterloo.ca/academic-calendar/undergraduate-studies/catalog - /courses/view/69aa6e4d88df55191cbbfc52" xr:uid="{00773621-57F4-1342-9B82-8D9C6375608A}"/>
    <hyperlink ref="B332" r:id="rId279" location="/courses/view/69aa6d2413e1b07a8b5ad0f9" display="https://uwaterloo.ca/academic-calendar/undergraduate-studies/catalog - /courses/view/69aa6d2413e1b07a8b5ad0f9" xr:uid="{BB698BF0-355A-9E48-BD9E-2F4275975641}"/>
    <hyperlink ref="B333" r:id="rId280" location="/courses/view/69aa6d2788fba4af19cb3542" display="https://uwaterloo.ca/academic-calendar/undergraduate-studies/catalog - /courses/view/69aa6d2788fba4af19cb3542" xr:uid="{11D422D6-19A7-4D49-A8A7-800FF53379E4}"/>
    <hyperlink ref="B334" r:id="rId281" location="/courses/view/69aa6d58405ebfa9d2b53f20" display="https://uwaterloo.ca/academic-calendar/undergraduate-studies/catalog - /courses/view/69aa6d58405ebfa9d2b53f20" xr:uid="{04697D12-F04F-7843-BAFB-D8611C796728}"/>
    <hyperlink ref="B335" r:id="rId282" location="/courses/view/69aa70f4df9c42c28b616b52" display="https://uwaterloo.ca/academic-calendar/undergraduate-studies/catalog - /courses/view/69aa70f4df9c42c28b616b52" xr:uid="{C9F248FB-0475-1B40-A7C3-D48F4D25B830}"/>
    <hyperlink ref="B336" r:id="rId283" location="/courses/view/69aa6d2fdf9c42c28b614430" display="https://uwaterloo.ca/academic-calendar/undergraduate-studies/catalog - /courses/view/69aa6d2fdf9c42c28b614430" xr:uid="{BCDACF25-9D22-C342-910C-1ABFFCB3FB47}"/>
    <hyperlink ref="B337" r:id="rId284" location="/courses/view/69aa6a8288df55191cbbd28f" display="https://uwaterloo.ca/academic-calendar/undergraduate-studies/catalog - /courses/view/69aa6a8288df55191cbbd28f" xr:uid="{E8808D51-5B4B-2340-B87B-3FB37D1D9298}"/>
    <hyperlink ref="B338" r:id="rId285" location="/courses/view/69aa7322943da42afcc5ca39" display="https://uwaterloo.ca/academic-calendar/undergraduate-studies/catalog - /courses/view/69aa7322943da42afcc5ca39" xr:uid="{0C7790D4-6902-2B4D-ADC8-EEA9310C6D12}"/>
    <hyperlink ref="B339" r:id="rId286" location="/courses/view/69aa7924df9c42c28b61a765" display="https://uwaterloo.ca/academic-calendar/undergraduate-studies/catalog - /courses/view/69aa7924df9c42c28b61a765" xr:uid="{363885A1-ED98-7746-B61A-221A29C724C9}"/>
    <hyperlink ref="B340" r:id="rId287" location="/courses/view/69aa787e5cacac2fbe801455" display="https://uwaterloo.ca/academic-calendar/undergraduate-studies/catalog - /courses/view/69aa787e5cacac2fbe801455" xr:uid="{47DE9DAF-85C4-D246-833C-79C9395972E5}"/>
    <hyperlink ref="B341" r:id="rId288" location="/courses/view/69aa6a83405ebfa9d2b5254f" display="https://uwaterloo.ca/academic-calendar/undergraduate-studies/catalog - /courses/view/69aa6a83405ebfa9d2b5254f" xr:uid="{51C2FCA0-0C91-7949-B7FD-2A3AD65F2BFA}"/>
    <hyperlink ref="B342" r:id="rId289" location="/courses/view/69aa6a8517940b8f16d39fbe" display="https://uwaterloo.ca/academic-calendar/undergraduate-studies/catalog - /courses/view/69aa6a8517940b8f16d39fbe" xr:uid="{A5945BFD-0267-0D43-B619-CD7CAB1FDE78}"/>
    <hyperlink ref="B343" r:id="rId290" location="/courses/view/69aa6a8f8197cc8370a48a75" display="https://uwaterloo.ca/academic-calendar/undergraduate-studies/catalog - /courses/view/69aa6a8f8197cc8370a48a75" xr:uid="{8D206DF8-1CA0-8148-9B28-B9DF9EBA3ADB}"/>
    <hyperlink ref="B344" r:id="rId291" location="/courses/view/69aa6a985cacac2fbe7fa2c9" display="https://uwaterloo.ca/academic-calendar/undergraduate-studies/catalog - /courses/view/69aa6a985cacac2fbe7fa2c9" xr:uid="{0AE2E30B-1567-044F-9A1F-1A1DB1F59788}"/>
    <hyperlink ref="B345" r:id="rId292" location="/courses/view/69aa6a9a13e1b07a8b5ab56f" display="https://uwaterloo.ca/academic-calendar/undergraduate-studies/catalog - /courses/view/69aa6a9a13e1b07a8b5ab56f" xr:uid="{60802762-7ED2-724D-9CB8-BADE27FAF154}"/>
    <hyperlink ref="B346" r:id="rId293" location="/courses/view/69aa732388df55191cbc2f00" display="https://uwaterloo.ca/academic-calendar/undergraduate-studies/catalog - /courses/view/69aa732388df55191cbc2f00" xr:uid="{4D65DB10-FCE8-4049-A527-1E3854E2E86C}"/>
    <hyperlink ref="B347" r:id="rId294" location="/courses/view/69aa6a9e0cdb8bf7a703e9b9" display="https://uwaterloo.ca/academic-calendar/undergraduate-studies/catalog - /courses/view/69aa6a9e0cdb8bf7a703e9b9" xr:uid="{7B7F48FF-6A3E-BF4E-B0ED-06DEF36CFD4D}"/>
    <hyperlink ref="B348" r:id="rId295" location="/courses/view/69aa6aa017940b8f16d3a07e" display="https://uwaterloo.ca/academic-calendar/undergraduate-studies/catalog - /courses/view/69aa6aa017940b8f16d3a07e" xr:uid="{91A1F46A-FD17-D44E-859C-173815E74C81}"/>
    <hyperlink ref="B349" r:id="rId296" location="/courses/view/69aa70c9405ebfa9d2b562c1" display="https://uwaterloo.ca/academic-calendar/undergraduate-studies/catalog - /courses/view/69aa70c9405ebfa9d2b562c1" xr:uid="{AF6B979D-E841-6F41-BADE-031FD8BFA13B}"/>
    <hyperlink ref="B350" r:id="rId297" location="/courses/view/69aa70c013e1b07a8b5af722" display="https://uwaterloo.ca/academic-calendar/undergraduate-studies/catalog - /courses/view/69aa70c013e1b07a8b5af722" xr:uid="{645E8F03-F34F-6644-A658-9DD9A76C47EF}"/>
    <hyperlink ref="B351" r:id="rId298" location="/courses/view/69aa795c306256e3f129f4ec" display="https://uwaterloo.ca/academic-calendar/undergraduate-studies/catalog - /courses/view/69aa795c306256e3f129f4ec" xr:uid="{AC8F357C-4DA2-3D42-98C3-3295156EB52D}"/>
    <hyperlink ref="B352" r:id="rId299" location="/courses/view/69aa78780cdb8bf7a7045ec7" display="https://uwaterloo.ca/academic-calendar/undergraduate-studies/catalog - /courses/view/69aa78780cdb8bf7a7045ec7" xr:uid="{B0AD6726-8C54-EE48-AE7C-7B1062BE7990}"/>
    <hyperlink ref="B8" r:id="rId300" location="/courses/view/69aa79d7df9c42c28b61adb0" display="https://uwaterloo.ca/academic-calendar/undergraduate-studies/catalog - /courses/view/69aa79d7df9c42c28b61adb0" xr:uid="{B63850FD-28CF-424D-85A2-9445DF962626}"/>
    <hyperlink ref="B9" r:id="rId301" location="/courses/view/69af01ef8197cc8370b1c3e2" display="https://uwaterloo.ca/academic-calendar/undergraduate-studies/catalog - /courses/view/69af01ef8197cc8370b1c3e2" xr:uid="{035BD5B5-4360-7C41-BD5A-655998C6DFF3}"/>
    <hyperlink ref="B10" r:id="rId302" location="/courses/view/69aa734f306256e3f129cbeb" display="https://uwaterloo.ca/academic-calendar/undergraduate-studies/catalog - /courses/view/69aa734f306256e3f129cbeb" xr:uid="{85791C7A-0275-BB46-A604-CAF866C3AFB9}"/>
    <hyperlink ref="B11" r:id="rId303" location="/courses/view/69aa6c1c306256e3f1298006" display="https://uwaterloo.ca/academic-calendar/undergraduate-studies/catalog - /courses/view/69aa6c1c306256e3f1298006" xr:uid="{339E37EC-03ED-2D49-9282-45B36AC9E2AF}"/>
    <hyperlink ref="B12" r:id="rId304" location="/courses/view/69aa6bc217940b8f16d3a850" display="https://uwaterloo.ca/academic-calendar/undergraduate-studies/catalog - /courses/view/69aa6bc217940b8f16d3a850" xr:uid="{0353E038-3345-9145-B9BE-3C286E9640F1}"/>
    <hyperlink ref="B13" r:id="rId305" location="/courses/view/64a5b96e64e0fe15a2173cac" display="https://uwaterloo.ca/academic-calendar/undergraduate-studies/catalog - /courses/view/64a5b96e64e0fe15a2173cac" xr:uid="{844DA2D5-9147-CE48-B6ED-4726FCB3D64A}"/>
    <hyperlink ref="B14" r:id="rId306" location="/courses/view/65b842cc5f44045bd1f292ce" display="https://uwaterloo.ca/academic-calendar/undergraduate-studies/catalog - /courses/view/65b842cc5f44045bd1f292ce" xr:uid="{EA85864D-7BB0-C14A-9CC9-AF4EE04741C6}"/>
    <hyperlink ref="B15" r:id="rId307" location="/courses/view/65b842f998f0441d6b10302d" display="https://uwaterloo.ca/academic-calendar/undergraduate-studies/catalog - /courses/view/65b842f998f0441d6b10302d" xr:uid="{E36C807B-96AD-A04A-AB65-CADF0E419A31}"/>
    <hyperlink ref="B16" r:id="rId308" location="/courses/view/6634ece30053cf784065bc64" display="https://uwaterloo.ca/academic-calendar/undergraduate-studies/catalog - /courses/view/6634ece30053cf784065bc64" xr:uid="{ABA59452-02B3-0B4D-ADDF-B47F3B33C452}"/>
    <hyperlink ref="B17" r:id="rId309" location="/courses/view/65ce4745caf2ebdd8f3d90c0" display="https://uwaterloo.ca/academic-calendar/undergraduate-studies/catalog - /courses/view/65ce4745caf2ebdd8f3d90c0" xr:uid="{75D15B2C-76EF-8949-808C-A41833292108}"/>
    <hyperlink ref="B18" r:id="rId310" location="/courses/view/65b843cbedfead49c43407b8" display="https://uwaterloo.ca/academic-calendar/undergraduate-studies/catalog - /courses/view/65b843cbedfead49c43407b8" xr:uid="{623464E8-7A9F-3B49-928C-1F98385FCA48}"/>
    <hyperlink ref="B19" r:id="rId311" location="/courses/view/6847440ce033218bd223f4cc" display="https://uwaterloo.ca/academic-calendar/undergraduate-studies/catalog - /courses/view/6847440ce033218bd223f4cc" xr:uid="{B6222817-FE99-5D4A-988B-6F9EA7751DD3}"/>
    <hyperlink ref="B20" r:id="rId312" location="/courses/view/65b8440b5f4404087cf292d8" display="https://uwaterloo.ca/academic-calendar/undergraduate-studies/catalog - /courses/view/65b8440b5f4404087cf292d8" xr:uid="{F6E31AA1-2AFE-4649-91A7-FE547068A236}"/>
    <hyperlink ref="B21" r:id="rId313" location="/courses/view/65b84434edfead0da83407bb" display="https://uwaterloo.ca/academic-calendar/undergraduate-studies/catalog - /courses/view/65b84434edfead0da83407bb" xr:uid="{BF921EAE-BA77-1248-B42F-9DF9AF0C76D5}"/>
    <hyperlink ref="B22" r:id="rId314" location="/courses/view/65b8446d5c94792b70e56a50" display="https://uwaterloo.ca/academic-calendar/undergraduate-studies/catalog - /courses/view/65b8446d5c94792b70e56a50" xr:uid="{6BF4BD80-90CE-4147-AB49-0755E9A6AADA}"/>
    <hyperlink ref="B23" r:id="rId315" location="/courses/view/65b8449f026eba7a32bb54c5" display="https://uwaterloo.ca/academic-calendar/undergraduate-studies/catalog - /courses/view/65b8449f026eba7a32bb54c5" xr:uid="{999CB3E2-C871-1E48-BA83-1D301710BC95}"/>
    <hyperlink ref="B24" r:id="rId316" location="/courses/view/68e512d67a6534544ea93c1f" display="https://uwaterloo.ca/academic-calendar/undergraduate-studies/catalog - /courses/view/68e512d67a6534544ea93c1f" xr:uid="{E514CD16-AEC5-9845-8311-616AD2411475}"/>
    <hyperlink ref="B25" r:id="rId317" location="/courses/view/65b844eb026ebadee5bb54cc" display="https://uwaterloo.ca/academic-calendar/undergraduate-studies/catalog - /courses/view/65b844eb026ebadee5bb54cc" xr:uid="{9F147591-3FD6-5C43-86CD-89EE0F27B0B0}"/>
    <hyperlink ref="B26" r:id="rId318" location="/courses/view/65b84511f81cd8579b1311fc" display="https://uwaterloo.ca/academic-calendar/undergraduate-studies/catalog - /courses/view/65b84511f81cd8579b1311fc" xr:uid="{4A4B05BB-000F-D742-928D-89783BC22113}"/>
    <hyperlink ref="B27" r:id="rId319" location="/courses/view/65b845445c9479754ee56a63" display="https://uwaterloo.ca/academic-calendar/undergraduate-studies/catalog - /courses/view/65b845445c9479754ee56a63" xr:uid="{C6110FFB-122E-E04A-98C0-1DCCEE60539D}"/>
    <hyperlink ref="B28" r:id="rId320" location="/courses/view/65b8457423cba75c7c47ba27" display="https://uwaterloo.ca/academic-calendar/undergraduate-studies/catalog - /courses/view/65b8457423cba75c7c47ba27" xr:uid="{DAE2D2D0-C07A-1C4C-8D92-A48023273C65}"/>
    <hyperlink ref="B29" r:id="rId321" location="/courses/view/65b845ae026eba0934bb54d1" display="https://uwaterloo.ca/academic-calendar/undergraduate-studies/catalog - /courses/view/65b845ae026eba0934bb54d1" xr:uid="{65FBB256-14E8-9441-AF72-BD4A8370D421}"/>
    <hyperlink ref="B30" r:id="rId322" location="/courses/view/65b845d85f44040175f292e2" display="https://uwaterloo.ca/academic-calendar/undergraduate-studies/catalog - /courses/view/65b845d85f44040175f292e2" xr:uid="{D6D286C8-B1F0-4A41-9E90-0DBDFBEE5D47}"/>
    <hyperlink ref="B31" r:id="rId323" location="/courses/view/65b842926cd589bb5ae9001e" display="https://uwaterloo.ca/academic-calendar/undergraduate-studies/catalog - /courses/view/65b842926cd589bb5ae9001e" xr:uid="{412D2AB0-6992-794F-819A-2192BB6E22F9}"/>
    <hyperlink ref="B32" r:id="rId324" location="/courses/view/695d4b43acf1b517c68af1cd" display="https://uwaterloo.ca/academic-calendar/undergraduate-studies/catalog - /courses/view/695d4b43acf1b517c68af1cd" xr:uid="{C7C38298-D58D-5049-9716-A5404418F8F3}"/>
    <hyperlink ref="B33" r:id="rId325" location="/courses/view/65f84065532380c26c60d154" display="https://uwaterloo.ca/academic-calendar/undergraduate-studies/catalog - /courses/view/65f84065532380c26c60d154" xr:uid="{64AA57E2-2A82-CD45-9634-581F64BB646B}"/>
    <hyperlink ref="B34" r:id="rId326" location="/courses/view/65ef2b3cc897cc00a6454252" display="https://uwaterloo.ca/academic-calendar/undergraduate-studies/catalog - /courses/view/65ef2b3cc897cc00a6454252" xr:uid="{FD4D20AA-540E-AC4C-825E-3454052291BF}"/>
    <hyperlink ref="B35" r:id="rId327" location="/courses/view/65cd0f82dc755c6dac1fcd78" display="https://uwaterloo.ca/academic-calendar/undergraduate-studies/catalog - /courses/view/65cd0f82dc755c6dac1fcd78" xr:uid="{45819F79-BDB7-5C48-A7EE-4870F3EF66AF}"/>
    <hyperlink ref="B36" r:id="rId328" location="/courses/view/65b900465f4404d7dff296b4" display="https://uwaterloo.ca/academic-calendar/undergraduate-studies/catalog - /courses/view/65b900465f4404d7dff296b4" xr:uid="{C0E39972-6F89-2340-8E48-991AB887252A}"/>
    <hyperlink ref="B37" r:id="rId329" location="/courses/view/65b90082b44f43364069e717" display="https://uwaterloo.ca/academic-calendar/undergraduate-studies/catalog - /courses/view/65b90082b44f43364069e717" xr:uid="{510727A3-56C6-4641-A667-57FA007E552B}"/>
    <hyperlink ref="B38" r:id="rId330" location="/courses/view/678fdf08f96bc48371ed40dc" display="https://uwaterloo.ca/academic-calendar/undergraduate-studies/catalog - /courses/view/678fdf08f96bc48371ed40dc" xr:uid="{339B2583-FE03-2041-AF68-F2CDF382E1C8}"/>
    <hyperlink ref="B39" r:id="rId331" location="/courses/view/65b9226d7405c40f85ac5944" display="https://uwaterloo.ca/academic-calendar/undergraduate-studies/catalog - /courses/view/65b9226d7405c40f85ac5944" xr:uid="{4347CB03-6CEB-974F-8544-6F0258FA5193}"/>
    <hyperlink ref="B40" r:id="rId332" location="/courses/view/65b922b7b44f437c6969e855" display="https://uwaterloo.ca/academic-calendar/undergraduate-studies/catalog - /courses/view/65b922b7b44f437c6969e855" xr:uid="{48E7E70C-9958-364E-B25A-DE92A2051D94}"/>
    <hyperlink ref="B41" r:id="rId333" location="/courses/view/65b923046cd589bcdbe9055a" display="https://uwaterloo.ca/academic-calendar/undergraduate-studies/catalog - /courses/view/65b923046cd589bcdbe9055a" xr:uid="{BD42B915-1DDB-B740-88E2-395AEDDA9355}"/>
    <hyperlink ref="B42" r:id="rId334" location="/courses/view/65b9237e23cba75f0547bf1f" display="https://uwaterloo.ca/academic-calendar/undergraduate-studies/catalog - /courses/view/65b9237e23cba75f0547bf1f" xr:uid="{7BE42025-1E74-084F-B16C-FF88FF803F6C}"/>
    <hyperlink ref="B43" r:id="rId335" location="/courses/view/65b923a598f0441493103553" display="https://uwaterloo.ca/academic-calendar/undergraduate-studies/catalog - /courses/view/65b923a598f0441493103553" xr:uid="{B042CB30-0114-2445-9270-927ACB0CFFA0}"/>
    <hyperlink ref="B44" r:id="rId336" location="/courses/view/65b924c8b44f4354a269e86e" display="https://uwaterloo.ca/academic-calendar/undergraduate-studies/catalog - /courses/view/65b924c8b44f4354a269e86e" xr:uid="{EAFAE763-BD59-714A-B364-C1AEDAF032A9}"/>
    <hyperlink ref="B45" r:id="rId337" location="/courses/view/65b925e45c94793112e56fec" display="https://uwaterloo.ca/academic-calendar/undergraduate-studies/catalog - /courses/view/65b925e45c94793112e56fec" xr:uid="{B005C3A3-6301-184A-8105-C85CEB005926}"/>
    <hyperlink ref="B46" r:id="rId338" location="/courses/view/65abe7f2b1bab04265fadcab" display="https://uwaterloo.ca/academic-calendar/undergraduate-studies/catalog - /courses/view/65abe7f2b1bab04265fadcab" xr:uid="{1FF3F9FA-2173-B547-90A5-CF9A51AF872A}"/>
    <hyperlink ref="B47" r:id="rId339" location="/courses/view/68e51566a45d66ea78d230e1" display="https://uwaterloo.ca/academic-calendar/undergraduate-studies/catalog - /courses/view/68e51566a45d66ea78d230e1" xr:uid="{0AB745D6-D6CE-A546-A933-EA5CEAF4B224}"/>
    <hyperlink ref="B48" r:id="rId340" location="/courses/view/69b16cf913e1b07a8b6bea8c" display="https://uwaterloo.ca/academic-calendar/undergraduate-studies/catalog - /courses/view/69b16cf913e1b07a8b6bea8c" xr:uid="{328E7581-D1ED-6543-AAA6-F73C7B4FFCB1}"/>
    <hyperlink ref="B49" r:id="rId341" location="/courses/view/693af770e0954ca654b1c064" display="https://uwaterloo.ca/academic-calendar/undergraduate-studies/catalog - /courses/view/693af770e0954ca654b1c064" xr:uid="{CC5B9B56-43BD-984B-B026-92428ADFD11A}"/>
    <hyperlink ref="B50" r:id="rId342" location="/courses/view/69a05ffa0cc3a4f01d87aa14" display="https://uwaterloo.ca/academic-calendar/undergraduate-studies/catalog - /courses/view/69a05ffa0cc3a4f01d87aa14" xr:uid="{CF2649BC-73EE-5845-A750-6C50C53DD976}"/>
    <hyperlink ref="B51" r:id="rId343" location="/courses/view/65cd381a187f5ef4fa913600" display="https://uwaterloo.ca/academic-calendar/undergraduate-studies/catalog - /courses/view/65cd381a187f5ef4fa913600" xr:uid="{6DF77B31-A7DA-104B-8B9F-B4B7B4CC0703}"/>
    <hyperlink ref="B52" r:id="rId344" location="/courses/view/68fa4d83aa7f1882c5fc2d30" display="https://uwaterloo.ca/academic-calendar/undergraduate-studies/catalog - /courses/view/68fa4d83aa7f1882c5fc2d30" xr:uid="{625F72F2-1693-394A-8174-D2D2799550CE}"/>
    <hyperlink ref="B53" r:id="rId345" location="/courses/view/65b9c24d18ca233a080b72dd" display="https://uwaterloo.ca/academic-calendar/undergraduate-studies/catalog - /courses/view/65b9c24d18ca233a080b72dd" xr:uid="{44296A8D-3E96-7D42-9236-7311CE5CF053}"/>
    <hyperlink ref="B2" r:id="rId346" location="/courses/view/69aa791a0cdb8bf7a70464d9" display="https://uwaterloo.ca/academic-calendar/undergraduate-studies/catalog - /courses/view/69aa791a0cdb8bf7a70464d9" xr:uid="{AA338633-A227-4040-B191-3D611B9EBE96}"/>
    <hyperlink ref="B3" r:id="rId347" location="/courses/view/69aa746188fba4af19cb807b" display="https://uwaterloo.ca/academic-calendar/undergraduate-studies/catalog - /courses/view/69aa746188fba4af19cb807b" xr:uid="{16D8C491-F3FC-E64D-90F8-BCAE9887FF0D}"/>
    <hyperlink ref="B4" r:id="rId348" location="/courses/view/65cbae5acd2bebe642e74d9a" display="https://uwaterloo.ca/academic-calendar/undergraduate-studies/catalog - /courses/view/65cbae5acd2bebe642e74d9a" xr:uid="{C64497C8-5925-4B47-B812-BD5BAF3FE3AD}"/>
    <hyperlink ref="B5" r:id="rId349" location="/courses/view/65eb7a99c897cc0298453067" display="https://uwaterloo.ca/academic-calendar/undergraduate-studies/catalog - /courses/view/65eb7a99c897cc0298453067" xr:uid="{62ECAE03-0EB7-AA48-9B8B-24B6C8137FB9}"/>
    <hyperlink ref="B6" r:id="rId350" location="/courses/view/65cbaf94b29e156a777e47ce" display="https://uwaterloo.ca/academic-calendar/undergraduate-studies/catalog - /courses/view/65cbaf94b29e156a777e47ce" xr:uid="{42EBE150-3385-7347-9D6E-49EAEF9DB23C}"/>
    <hyperlink ref="B7" r:id="rId351" location="/courses/view/65eb7aca8b15d81cd8217003" display="https://uwaterloo.ca/academic-calendar/undergraduate-studies/catalog - /courses/view/65eb7aca8b15d81cd8217003" xr:uid="{B1AA0A76-202E-7D42-9840-FED7E8A2428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D5CB-C707-2C46-AE3C-98A33271A677}">
  <dimension ref="A1:O29"/>
  <sheetViews>
    <sheetView zoomScaleNormal="100" workbookViewId="0">
      <selection activeCell="A2" sqref="A2:A15"/>
    </sheetView>
  </sheetViews>
  <sheetFormatPr defaultColWidth="11" defaultRowHeight="15.6" x14ac:dyDescent="0.3"/>
  <cols>
    <col min="1" max="1" width="31.19921875" customWidth="1"/>
    <col min="2" max="2" width="33.69921875" customWidth="1"/>
    <col min="3" max="3" width="41.296875" customWidth="1"/>
    <col min="4" max="4" width="36.19921875" customWidth="1"/>
    <col min="5" max="5" width="28.69921875" customWidth="1"/>
    <col min="6" max="6" width="33.796875" customWidth="1"/>
    <col min="7" max="7" width="31.296875" customWidth="1"/>
    <col min="8" max="8" width="32" customWidth="1"/>
    <col min="9" max="9" width="33.296875" customWidth="1"/>
    <col min="10" max="10" width="37.69921875" customWidth="1"/>
    <col min="11" max="11" width="29.69921875" customWidth="1"/>
    <col min="12" max="12" width="32.5" customWidth="1"/>
    <col min="13" max="13" width="38.69921875" customWidth="1"/>
    <col min="14" max="14" width="29.69921875" customWidth="1"/>
    <col min="15" max="15" width="25.19921875" customWidth="1"/>
  </cols>
  <sheetData>
    <row r="1" spans="1:15" s="1" customFormat="1" ht="28.8" x14ac:dyDescent="0.4">
      <c r="A1" s="4" t="s">
        <v>690</v>
      </c>
      <c r="B1" s="4" t="s">
        <v>677</v>
      </c>
      <c r="C1" s="4" t="s">
        <v>691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s="1" customFormat="1" ht="28.8" x14ac:dyDescent="0.4">
      <c r="A2" s="25">
        <v>4</v>
      </c>
      <c r="B2" s="11" t="s">
        <v>14</v>
      </c>
      <c r="C2" s="11" t="s"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15" s="1" customFormat="1" ht="28.8" x14ac:dyDescent="0.4">
      <c r="A3" s="25"/>
      <c r="B3" s="11" t="s">
        <v>692</v>
      </c>
      <c r="C3" s="11" t="s">
        <v>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 spans="1:15" ht="28.8" x14ac:dyDescent="0.3">
      <c r="A4" s="25"/>
      <c r="B4" s="11" t="s">
        <v>15</v>
      </c>
      <c r="C4" s="11" t="s">
        <v>2</v>
      </c>
    </row>
    <row r="5" spans="1:15" ht="28.8" x14ac:dyDescent="0.3">
      <c r="A5" s="25"/>
      <c r="B5" s="11" t="s">
        <v>693</v>
      </c>
      <c r="C5" s="11" t="s">
        <v>3</v>
      </c>
    </row>
    <row r="6" spans="1:15" ht="28.8" x14ac:dyDescent="0.3">
      <c r="A6" s="25"/>
      <c r="B6" s="11" t="s">
        <v>16</v>
      </c>
      <c r="C6" s="11" t="s">
        <v>4</v>
      </c>
    </row>
    <row r="7" spans="1:15" ht="28.8" x14ac:dyDescent="0.3">
      <c r="A7" s="25"/>
      <c r="B7" s="11" t="s">
        <v>694</v>
      </c>
      <c r="C7" s="11" t="s">
        <v>5</v>
      </c>
    </row>
    <row r="8" spans="1:15" ht="28.8" x14ac:dyDescent="0.3">
      <c r="A8" s="25"/>
      <c r="B8" s="11" t="s">
        <v>17</v>
      </c>
      <c r="C8" s="11" t="s">
        <v>6</v>
      </c>
    </row>
    <row r="9" spans="1:15" ht="28.8" x14ac:dyDescent="0.3">
      <c r="A9" s="25"/>
      <c r="B9" s="11" t="s">
        <v>695</v>
      </c>
      <c r="C9" s="11" t="s">
        <v>7</v>
      </c>
    </row>
    <row r="10" spans="1:15" ht="28.8" x14ac:dyDescent="0.3">
      <c r="A10" s="25"/>
      <c r="B10" s="11" t="s">
        <v>18</v>
      </c>
      <c r="C10" s="11" t="s">
        <v>8</v>
      </c>
    </row>
    <row r="11" spans="1:15" ht="28.8" x14ac:dyDescent="0.3">
      <c r="A11" s="25"/>
      <c r="B11" s="11" t="s">
        <v>19</v>
      </c>
      <c r="C11" s="11" t="s">
        <v>9</v>
      </c>
    </row>
    <row r="12" spans="1:15" ht="28.8" x14ac:dyDescent="0.3">
      <c r="A12" s="25"/>
      <c r="B12" s="11" t="s">
        <v>696</v>
      </c>
      <c r="C12" s="11" t="s">
        <v>10</v>
      </c>
    </row>
    <row r="13" spans="1:15" ht="28.8" x14ac:dyDescent="0.3">
      <c r="A13" s="25"/>
      <c r="B13" s="11" t="s">
        <v>697</v>
      </c>
      <c r="C13" s="11" t="s">
        <v>11</v>
      </c>
    </row>
    <row r="14" spans="1:15" ht="28.8" x14ac:dyDescent="0.3">
      <c r="A14" s="25"/>
      <c r="B14" s="11" t="s">
        <v>20</v>
      </c>
      <c r="C14" s="11" t="s">
        <v>12</v>
      </c>
    </row>
    <row r="15" spans="1:15" ht="28.8" x14ac:dyDescent="0.3">
      <c r="A15" s="25"/>
      <c r="B15" s="11" t="s">
        <v>21</v>
      </c>
      <c r="C15" s="11" t="s">
        <v>13</v>
      </c>
    </row>
    <row r="16" spans="1:15" ht="28.8" x14ac:dyDescent="0.3">
      <c r="A16" s="25">
        <v>8</v>
      </c>
      <c r="B16" s="11" t="s">
        <v>14</v>
      </c>
      <c r="C16" s="11" t="s">
        <v>0</v>
      </c>
    </row>
    <row r="17" spans="1:3" ht="28.8" x14ac:dyDescent="0.3">
      <c r="A17" s="25"/>
      <c r="B17" s="11" t="s">
        <v>15</v>
      </c>
      <c r="C17" s="11" t="s">
        <v>1</v>
      </c>
    </row>
    <row r="18" spans="1:3" ht="28.8" x14ac:dyDescent="0.3">
      <c r="A18" s="25"/>
      <c r="B18" s="11" t="s">
        <v>692</v>
      </c>
      <c r="C18" s="11" t="s">
        <v>2</v>
      </c>
    </row>
    <row r="19" spans="1:3" ht="28.8" x14ac:dyDescent="0.3">
      <c r="A19" s="25"/>
      <c r="B19" s="11" t="s">
        <v>16</v>
      </c>
      <c r="C19" s="11" t="s">
        <v>3</v>
      </c>
    </row>
    <row r="20" spans="1:3" ht="28.8" x14ac:dyDescent="0.3">
      <c r="A20" s="25"/>
      <c r="B20" s="11" t="s">
        <v>693</v>
      </c>
      <c r="C20" s="11" t="s">
        <v>4</v>
      </c>
    </row>
    <row r="21" spans="1:3" ht="28.8" x14ac:dyDescent="0.3">
      <c r="A21" s="25"/>
      <c r="B21" s="11" t="s">
        <v>17</v>
      </c>
      <c r="C21" s="11" t="s">
        <v>5</v>
      </c>
    </row>
    <row r="22" spans="1:3" ht="28.8" x14ac:dyDescent="0.3">
      <c r="A22" s="25"/>
      <c r="B22" s="11" t="s">
        <v>694</v>
      </c>
      <c r="C22" s="11" t="s">
        <v>6</v>
      </c>
    </row>
    <row r="23" spans="1:3" ht="28.8" x14ac:dyDescent="0.3">
      <c r="A23" s="25"/>
      <c r="B23" s="11" t="s">
        <v>18</v>
      </c>
      <c r="C23" s="11" t="s">
        <v>7</v>
      </c>
    </row>
    <row r="24" spans="1:3" ht="28.8" x14ac:dyDescent="0.3">
      <c r="A24" s="25"/>
      <c r="B24" s="11" t="s">
        <v>695</v>
      </c>
      <c r="C24" s="11" t="s">
        <v>8</v>
      </c>
    </row>
    <row r="25" spans="1:3" ht="28.8" x14ac:dyDescent="0.3">
      <c r="A25" s="25"/>
      <c r="B25" s="11" t="s">
        <v>696</v>
      </c>
      <c r="C25" s="11" t="s">
        <v>9</v>
      </c>
    </row>
    <row r="26" spans="1:3" ht="28.8" x14ac:dyDescent="0.3">
      <c r="A26" s="25"/>
      <c r="B26" s="11" t="s">
        <v>19</v>
      </c>
      <c r="C26" s="11" t="s">
        <v>10</v>
      </c>
    </row>
    <row r="27" spans="1:3" ht="28.8" x14ac:dyDescent="0.3">
      <c r="A27" s="25"/>
      <c r="B27" s="11" t="s">
        <v>697</v>
      </c>
      <c r="C27" s="11" t="s">
        <v>11</v>
      </c>
    </row>
    <row r="28" spans="1:3" ht="28.8" x14ac:dyDescent="0.3">
      <c r="A28" s="25"/>
      <c r="B28" s="11" t="s">
        <v>20</v>
      </c>
      <c r="C28" s="11" t="s">
        <v>12</v>
      </c>
    </row>
    <row r="29" spans="1:3" ht="28.8" x14ac:dyDescent="0.3">
      <c r="A29" s="25"/>
      <c r="B29" s="11" t="s">
        <v>21</v>
      </c>
      <c r="C29" s="11" t="s">
        <v>13</v>
      </c>
    </row>
  </sheetData>
  <mergeCells count="2">
    <mergeCell ref="A2:A15"/>
    <mergeCell ref="A16:A29"/>
  </mergeCells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624EB5D5B39D469A1A20E409F872F1" ma:contentTypeVersion="4" ma:contentTypeDescription="Create a new document." ma:contentTypeScope="" ma:versionID="9a18d4e7b6e2a44f09bb0f80df038240">
  <xsd:schema xmlns:xsd="http://www.w3.org/2001/XMLSchema" xmlns:xs="http://www.w3.org/2001/XMLSchema" xmlns:p="http://schemas.microsoft.com/office/2006/metadata/properties" xmlns:ns3="aef5f222-1284-43b6-be47-10330c0de42b" targetNamespace="http://schemas.microsoft.com/office/2006/metadata/properties" ma:root="true" ma:fieldsID="18893a3f2ff1fda358b54bf55acef3c5" ns3:_="">
    <xsd:import namespace="aef5f222-1284-43b6-be47-10330c0de42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f5f222-1284-43b6-be47-10330c0de42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D9B679-74B9-448C-A0D2-BED9A5ACC9F5}">
  <ds:schemaRefs>
    <ds:schemaRef ds:uri="http://www.w3.org/XML/1998/namespace"/>
    <ds:schemaRef ds:uri="aef5f222-1284-43b6-be47-10330c0de42b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DBD023A-2A2E-4217-B6D5-F56762412D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DE797F9-2498-4E2E-86D6-06A05F4C30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f5f222-1284-43b6-be47-10330c0de4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Personalized Academic Calendar</vt:lpstr>
      <vt:lpstr>Elective Lists</vt:lpstr>
      <vt:lpstr>Study Work Sequence Chart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Zim</dc:creator>
  <cp:lastModifiedBy>Nahian Mahzabeen</cp:lastModifiedBy>
  <dcterms:created xsi:type="dcterms:W3CDTF">2026-09-16T22:22:43Z</dcterms:created>
  <dcterms:modified xsi:type="dcterms:W3CDTF">2026-09-27T19:21:05Z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0x0101001D624EB5D5B39D469A1A20E409F872F1</vt:lpwstr>
  </property>
</Properties>
</file>